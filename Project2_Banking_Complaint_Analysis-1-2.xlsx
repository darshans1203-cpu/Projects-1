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aint Data" sheetId="1" state="visible" r:id="rId3"/>
    <sheet name="Complaint Tren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<sst xmlns="http://schemas.openxmlformats.org/spreadsheetml/2006/main" count="163" uniqueCount="117">
  <si>
    <t xml:space="preserve">PROJECT 2: BANKING CUSTOMER COMPLAINT ANALYSIS – FY 2024-25</t>
  </si>
  <si>
    <t xml:space="preserve">Sr No</t>
  </si>
  <si>
    <t xml:space="preserve">Complaint ID</t>
  </si>
  <si>
    <t xml:space="preserve">Customer Name</t>
  </si>
  <si>
    <t xml:space="preserve">Branch</t>
  </si>
  <si>
    <t xml:space="preserve">City</t>
  </si>
  <si>
    <t xml:space="preserve">Complaint Category</t>
  </si>
  <si>
    <t xml:space="preserve">Date Filed</t>
  </si>
  <si>
    <t xml:space="preserve">Status</t>
  </si>
  <si>
    <t xml:space="preserve">Resolution Days</t>
  </si>
  <si>
    <t xml:space="preserve">CMP-001</t>
  </si>
  <si>
    <t xml:space="preserve">Ravi Shankar</t>
  </si>
  <si>
    <t xml:space="preserve">Connaught Place</t>
  </si>
  <si>
    <t xml:space="preserve">Delhi</t>
  </si>
  <si>
    <t xml:space="preserve">ATM Failure</t>
  </si>
  <si>
    <t xml:space="preserve">01-Apr-2024</t>
  </si>
  <si>
    <t xml:space="preserve">Resolved</t>
  </si>
  <si>
    <t xml:space="preserve">CMP-002</t>
  </si>
  <si>
    <t xml:space="preserve">Geeta Menon</t>
  </si>
  <si>
    <t xml:space="preserve">Anna Nagar</t>
  </si>
  <si>
    <t xml:space="preserve">Chennai</t>
  </si>
  <si>
    <t xml:space="preserve">Net Banking Issue</t>
  </si>
  <si>
    <t xml:space="preserve">05-Apr-2024</t>
  </si>
  <si>
    <t xml:space="preserve">CMP-003</t>
  </si>
  <si>
    <t xml:space="preserve">Harish Patil</t>
  </si>
  <si>
    <t xml:space="preserve">Bandra</t>
  </si>
  <si>
    <t xml:space="preserve">Mumbai</t>
  </si>
  <si>
    <t xml:space="preserve">Loan Disbursement Delay</t>
  </si>
  <si>
    <t xml:space="preserve">10-Apr-2024</t>
  </si>
  <si>
    <t xml:space="preserve">Pending</t>
  </si>
  <si>
    <t xml:space="preserve">CMP-004</t>
  </si>
  <si>
    <t xml:space="preserve">Sunita Aggarwal</t>
  </si>
  <si>
    <t xml:space="preserve">Salt Lake</t>
  </si>
  <si>
    <t xml:space="preserve">Kolkata</t>
  </si>
  <si>
    <t xml:space="preserve">Cheque Bounce</t>
  </si>
  <si>
    <t xml:space="preserve">15-Apr-2024</t>
  </si>
  <si>
    <t xml:space="preserve">CMP-005</t>
  </si>
  <si>
    <t xml:space="preserve">Prakash Nambiar</t>
  </si>
  <si>
    <t xml:space="preserve">Koramangala</t>
  </si>
  <si>
    <t xml:space="preserve">Bengaluru</t>
  </si>
  <si>
    <t xml:space="preserve">Credit Card Fraud</t>
  </si>
  <si>
    <t xml:space="preserve">20-Apr-2024</t>
  </si>
  <si>
    <t xml:space="preserve">Escalated</t>
  </si>
  <si>
    <t xml:space="preserve">CMP-006</t>
  </si>
  <si>
    <t xml:space="preserve">Radha Iyengar</t>
  </si>
  <si>
    <t xml:space="preserve">Jubilee Hills</t>
  </si>
  <si>
    <t xml:space="preserve">Hyderabad</t>
  </si>
  <si>
    <t xml:space="preserve">Excess Charges</t>
  </si>
  <si>
    <t xml:space="preserve">25-Apr-2024</t>
  </si>
  <si>
    <t xml:space="preserve">CMP-007</t>
  </si>
  <si>
    <t xml:space="preserve">Mohan Das</t>
  </si>
  <si>
    <t xml:space="preserve">Satellite</t>
  </si>
  <si>
    <t xml:space="preserve">Ahmedabad</t>
  </si>
  <si>
    <t xml:space="preserve">Mobile Banking Error</t>
  </si>
  <si>
    <t xml:space="preserve">02-May-2024</t>
  </si>
  <si>
    <t xml:space="preserve">CMP-008</t>
  </si>
  <si>
    <t xml:space="preserve">Anita Kapoor</t>
  </si>
  <si>
    <t xml:space="preserve">Sector 17</t>
  </si>
  <si>
    <t xml:space="preserve">Chandigarh</t>
  </si>
  <si>
    <t xml:space="preserve">08-May-2024</t>
  </si>
  <si>
    <t xml:space="preserve">CMP-009</t>
  </si>
  <si>
    <t xml:space="preserve">Sunil Mathur</t>
  </si>
  <si>
    <t xml:space="preserve">MG Road</t>
  </si>
  <si>
    <t xml:space="preserve">Pune</t>
  </si>
  <si>
    <t xml:space="preserve">14-May-2024</t>
  </si>
  <si>
    <t xml:space="preserve">CMP-010</t>
  </si>
  <si>
    <t xml:space="preserve">Preethi Suresh</t>
  </si>
  <si>
    <t xml:space="preserve">T Nagar</t>
  </si>
  <si>
    <t xml:space="preserve">20-May-2024</t>
  </si>
  <si>
    <t xml:space="preserve">CMP-011</t>
  </si>
  <si>
    <t xml:space="preserve">Dinesh Choudhary</t>
  </si>
  <si>
    <t xml:space="preserve">Lajpat Nagar</t>
  </si>
  <si>
    <t xml:space="preserve">26-May-2024</t>
  </si>
  <si>
    <t xml:space="preserve">CMP-012</t>
  </si>
  <si>
    <t xml:space="preserve">Kamala Rajan</t>
  </si>
  <si>
    <t xml:space="preserve">Indiranagar</t>
  </si>
  <si>
    <t xml:space="preserve">01-Jun-2024</t>
  </si>
  <si>
    <t xml:space="preserve">CMP-013</t>
  </si>
  <si>
    <t xml:space="preserve">Vinod Saxena</t>
  </si>
  <si>
    <t xml:space="preserve">Powai</t>
  </si>
  <si>
    <t xml:space="preserve">07-Jun-2024</t>
  </si>
  <si>
    <t xml:space="preserve">CMP-014</t>
  </si>
  <si>
    <t xml:space="preserve">Sarita Jha</t>
  </si>
  <si>
    <t xml:space="preserve">Park Street</t>
  </si>
  <si>
    <t xml:space="preserve">13-Jun-2024</t>
  </si>
  <si>
    <t xml:space="preserve">CMP-015</t>
  </si>
  <si>
    <t xml:space="preserve">Arun Pillai</t>
  </si>
  <si>
    <t xml:space="preserve">Banjara Hills</t>
  </si>
  <si>
    <t xml:space="preserve">19-Jun-2024</t>
  </si>
  <si>
    <t xml:space="preserve">CMP-016</t>
  </si>
  <si>
    <t xml:space="preserve">Nalini Verma</t>
  </si>
  <si>
    <t xml:space="preserve">CG Road</t>
  </si>
  <si>
    <t xml:space="preserve">25-Jun-2024</t>
  </si>
  <si>
    <t xml:space="preserve">CMP-017</t>
  </si>
  <si>
    <t xml:space="preserve">Sushil Kumar</t>
  </si>
  <si>
    <t xml:space="preserve">Sector 62</t>
  </si>
  <si>
    <t xml:space="preserve">Noida</t>
  </si>
  <si>
    <t xml:space="preserve">01-Jul-2024</t>
  </si>
  <si>
    <t xml:space="preserve">CMP-018</t>
  </si>
  <si>
    <t xml:space="preserve">Manjula Rao</t>
  </si>
  <si>
    <t xml:space="preserve">Jayanagar</t>
  </si>
  <si>
    <t xml:space="preserve">07-Jul-2024</t>
  </si>
  <si>
    <t xml:space="preserve">CMP-019</t>
  </si>
  <si>
    <t xml:space="preserve">Rajendra Singh</t>
  </si>
  <si>
    <t xml:space="preserve">Alwar Road</t>
  </si>
  <si>
    <t xml:space="preserve">Jaipur</t>
  </si>
  <si>
    <t xml:space="preserve">13-Jul-2024</t>
  </si>
  <si>
    <t xml:space="preserve">CMP-020</t>
  </si>
  <si>
    <t xml:space="preserve">Usha Krishnamurthy</t>
  </si>
  <si>
    <t xml:space="preserve">Velachery</t>
  </si>
  <si>
    <t xml:space="preserve">19-Jul-2024</t>
  </si>
  <si>
    <t xml:space="preserve">TOTAL</t>
  </si>
  <si>
    <t xml:space="preserve">Complaint Category Trend Analysis</t>
  </si>
  <si>
    <t xml:space="preserve">Category</t>
  </si>
  <si>
    <t xml:space="preserve">Count</t>
  </si>
  <si>
    <t xml:space="preserve">Pending/Escalated</t>
  </si>
  <si>
    <t xml:space="preserve">Resolution Rate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</si>
</sst>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D7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D7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Complaints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'Complaint Trends'!B2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'Complaint Trends'!$A$3:$A$8</c:f>
              <c:strCache>
                <c:ptCount val="6"/>
                <c:pt idx="0">
                  <c:v>ATM Failure</c:v>
                </c:pt>
                <c:pt idx="1">
                  <c:v>Net Banking Issue</c:v>
                </c:pt>
                <c:pt idx="2">
                  <c:v>Loan Disbursement Delay</c:v>
                </c:pt>
                <c:pt idx="3">
                  <c:v>Cheque Bounce</c:v>
                </c:pt>
                <c:pt idx="4">
                  <c:v>Credit Card Fraud</c:v>
                </c:pt>
                <c:pt idx="5">
                  <c:v>Excess Charges</c:v>
                </c:pt>
              </c:strCache>
            </c:strRef>
          </c:cat>
          <c:val>
            <c:numRef>
              <c:f>'Complaint Trends'!$B$3:$B$8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256320</xdr:colOff>
      <xdr:row>23</xdr:row>
      <xdr:rowOff>42840</xdr:rowOff>
    </xdr:to>
    <xdr:graphicFrame>
      <xdr:nvGraphicFramePr>
        <xdr:cNvPr id="0" name="Chart 1"/>
        <xdr:cNvGraphicFramePr/>
      </xdr:nvGraphicFramePr>
      <xdr:xfrm>
        <a:off x="9069840" y="380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8" hidden="false" customHeight="true" outlineLevel="0" collapsed="false">
      <c r="A3" s="3" t="n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n">
        <v>3</v>
      </c>
    </row>
    <row r="4" customFormat="false" ht="18" hidden="false" customHeight="true" outlineLevel="0" collapsed="false">
      <c r="A4" s="4" t="n">
        <v>2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16</v>
      </c>
      <c r="I4" s="4" t="n">
        <v>5</v>
      </c>
    </row>
    <row r="5" customFormat="false" ht="18" hidden="false" customHeight="true" outlineLevel="0" collapsed="false">
      <c r="A5" s="3" t="n">
        <v>3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n">
        <v>15</v>
      </c>
    </row>
    <row r="6" customFormat="false" ht="18" hidden="false" customHeight="true" outlineLevel="0" collapsed="false">
      <c r="A6" s="4" t="n">
        <v>4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16</v>
      </c>
      <c r="I6" s="4" t="n">
        <v>2</v>
      </c>
    </row>
    <row r="7" customFormat="false" ht="18" hidden="false" customHeight="true" outlineLevel="0" collapsed="false">
      <c r="A7" s="3" t="n">
        <v>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n">
        <v>7</v>
      </c>
    </row>
    <row r="8" customFormat="false" ht="18" hidden="false" customHeight="true" outlineLevel="0" collapsed="false">
      <c r="A8" s="4" t="n">
        <v>6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16</v>
      </c>
      <c r="I8" s="4" t="n">
        <v>4</v>
      </c>
    </row>
    <row r="9" customFormat="false" ht="18" hidden="false" customHeight="true" outlineLevel="0" collapsed="false">
      <c r="A9" s="3" t="n">
        <v>7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16</v>
      </c>
      <c r="I9" s="3" t="n">
        <v>6</v>
      </c>
    </row>
    <row r="10" customFormat="false" ht="18" hidden="false" customHeight="true" outlineLevel="0" collapsed="false">
      <c r="A10" s="4" t="n">
        <v>8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14</v>
      </c>
      <c r="G10" s="4" t="s">
        <v>59</v>
      </c>
      <c r="H10" s="4" t="s">
        <v>16</v>
      </c>
      <c r="I10" s="4" t="n">
        <v>3</v>
      </c>
    </row>
    <row r="11" customFormat="false" ht="18" hidden="false" customHeight="true" outlineLevel="0" collapsed="false">
      <c r="A11" s="3" t="n">
        <v>9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21</v>
      </c>
      <c r="G11" s="3" t="s">
        <v>64</v>
      </c>
      <c r="H11" s="3" t="s">
        <v>29</v>
      </c>
      <c r="I11" s="3" t="n">
        <v>12</v>
      </c>
    </row>
    <row r="12" customFormat="false" ht="18" hidden="false" customHeight="true" outlineLevel="0" collapsed="false">
      <c r="A12" s="4" t="n">
        <v>10</v>
      </c>
      <c r="B12" s="4" t="s">
        <v>65</v>
      </c>
      <c r="C12" s="4" t="s">
        <v>66</v>
      </c>
      <c r="D12" s="4" t="s">
        <v>67</v>
      </c>
      <c r="E12" s="4" t="s">
        <v>20</v>
      </c>
      <c r="F12" s="4" t="s">
        <v>47</v>
      </c>
      <c r="G12" s="4" t="s">
        <v>68</v>
      </c>
      <c r="H12" s="4" t="s">
        <v>16</v>
      </c>
      <c r="I12" s="4" t="n">
        <v>5</v>
      </c>
    </row>
    <row r="13" customFormat="false" ht="18" hidden="false" customHeight="true" outlineLevel="0" collapsed="false">
      <c r="A13" s="3" t="n">
        <v>11</v>
      </c>
      <c r="B13" s="3" t="s">
        <v>69</v>
      </c>
      <c r="C13" s="3" t="s">
        <v>70</v>
      </c>
      <c r="D13" s="3" t="s">
        <v>71</v>
      </c>
      <c r="E13" s="3" t="s">
        <v>13</v>
      </c>
      <c r="F13" s="3" t="s">
        <v>27</v>
      </c>
      <c r="G13" s="3" t="s">
        <v>72</v>
      </c>
      <c r="H13" s="3" t="s">
        <v>42</v>
      </c>
      <c r="I13" s="3" t="n">
        <v>20</v>
      </c>
    </row>
    <row r="14" customFormat="false" ht="18" hidden="false" customHeight="true" outlineLevel="0" collapsed="false">
      <c r="A14" s="4" t="n">
        <v>12</v>
      </c>
      <c r="B14" s="4" t="s">
        <v>73</v>
      </c>
      <c r="C14" s="4" t="s">
        <v>74</v>
      </c>
      <c r="D14" s="4" t="s">
        <v>75</v>
      </c>
      <c r="E14" s="4" t="s">
        <v>39</v>
      </c>
      <c r="F14" s="4" t="s">
        <v>34</v>
      </c>
      <c r="G14" s="4" t="s">
        <v>76</v>
      </c>
      <c r="H14" s="4" t="s">
        <v>16</v>
      </c>
      <c r="I14" s="4" t="n">
        <v>2</v>
      </c>
    </row>
    <row r="15" customFormat="false" ht="18" hidden="false" customHeight="true" outlineLevel="0" collapsed="false">
      <c r="A15" s="3" t="n">
        <v>13</v>
      </c>
      <c r="B15" s="3" t="s">
        <v>77</v>
      </c>
      <c r="C15" s="3" t="s">
        <v>78</v>
      </c>
      <c r="D15" s="3" t="s">
        <v>79</v>
      </c>
      <c r="E15" s="3" t="s">
        <v>26</v>
      </c>
      <c r="F15" s="3" t="s">
        <v>40</v>
      </c>
      <c r="G15" s="3" t="s">
        <v>80</v>
      </c>
      <c r="H15" s="3" t="s">
        <v>16</v>
      </c>
      <c r="I15" s="3" t="n">
        <v>8</v>
      </c>
    </row>
    <row r="16" customFormat="false" ht="18" hidden="false" customHeight="true" outlineLevel="0" collapsed="false">
      <c r="A16" s="4" t="n">
        <v>14</v>
      </c>
      <c r="B16" s="4" t="s">
        <v>81</v>
      </c>
      <c r="C16" s="4" t="s">
        <v>82</v>
      </c>
      <c r="D16" s="4" t="s">
        <v>83</v>
      </c>
      <c r="E16" s="4" t="s">
        <v>33</v>
      </c>
      <c r="F16" s="4" t="s">
        <v>53</v>
      </c>
      <c r="G16" s="4" t="s">
        <v>84</v>
      </c>
      <c r="H16" s="4" t="s">
        <v>16</v>
      </c>
      <c r="I16" s="4" t="n">
        <v>4</v>
      </c>
    </row>
    <row r="17" customFormat="false" ht="18" hidden="false" customHeight="true" outlineLevel="0" collapsed="false">
      <c r="A17" s="3" t="n">
        <v>15</v>
      </c>
      <c r="B17" s="3" t="s">
        <v>85</v>
      </c>
      <c r="C17" s="3" t="s">
        <v>86</v>
      </c>
      <c r="D17" s="3" t="s">
        <v>87</v>
      </c>
      <c r="E17" s="3" t="s">
        <v>46</v>
      </c>
      <c r="F17" s="3" t="s">
        <v>14</v>
      </c>
      <c r="G17" s="3" t="s">
        <v>88</v>
      </c>
      <c r="H17" s="3" t="s">
        <v>29</v>
      </c>
      <c r="I17" s="3" t="n">
        <v>10</v>
      </c>
    </row>
    <row r="18" customFormat="false" ht="18" hidden="false" customHeight="true" outlineLevel="0" collapsed="false">
      <c r="A18" s="4" t="n">
        <v>16</v>
      </c>
      <c r="B18" s="4" t="s">
        <v>89</v>
      </c>
      <c r="C18" s="4" t="s">
        <v>90</v>
      </c>
      <c r="D18" s="4" t="s">
        <v>91</v>
      </c>
      <c r="E18" s="4" t="s">
        <v>52</v>
      </c>
      <c r="F18" s="4" t="s">
        <v>21</v>
      </c>
      <c r="G18" s="4" t="s">
        <v>92</v>
      </c>
      <c r="H18" s="4" t="s">
        <v>16</v>
      </c>
      <c r="I18" s="4" t="n">
        <v>6</v>
      </c>
    </row>
    <row r="19" customFormat="false" ht="18" hidden="false" customHeight="true" outlineLevel="0" collapsed="false">
      <c r="A19" s="3" t="n">
        <v>17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47</v>
      </c>
      <c r="G19" s="3" t="s">
        <v>97</v>
      </c>
      <c r="H19" s="3" t="s">
        <v>16</v>
      </c>
      <c r="I19" s="3" t="n">
        <v>3</v>
      </c>
    </row>
    <row r="20" customFormat="false" ht="18" hidden="false" customHeight="true" outlineLevel="0" collapsed="false">
      <c r="A20" s="4" t="n">
        <v>18</v>
      </c>
      <c r="B20" s="4" t="s">
        <v>98</v>
      </c>
      <c r="C20" s="4" t="s">
        <v>99</v>
      </c>
      <c r="D20" s="4" t="s">
        <v>100</v>
      </c>
      <c r="E20" s="4" t="s">
        <v>39</v>
      </c>
      <c r="F20" s="4" t="s">
        <v>27</v>
      </c>
      <c r="G20" s="4" t="s">
        <v>101</v>
      </c>
      <c r="H20" s="4" t="s">
        <v>42</v>
      </c>
      <c r="I20" s="4" t="n">
        <v>18</v>
      </c>
    </row>
    <row r="21" customFormat="false" ht="18" hidden="false" customHeight="true" outlineLevel="0" collapsed="false">
      <c r="A21" s="3" t="n">
        <v>19</v>
      </c>
      <c r="B21" s="3" t="s">
        <v>102</v>
      </c>
      <c r="C21" s="3" t="s">
        <v>103</v>
      </c>
      <c r="D21" s="3" t="s">
        <v>104</v>
      </c>
      <c r="E21" s="3" t="s">
        <v>105</v>
      </c>
      <c r="F21" s="3" t="s">
        <v>34</v>
      </c>
      <c r="G21" s="3" t="s">
        <v>106</v>
      </c>
      <c r="H21" s="3" t="s">
        <v>16</v>
      </c>
      <c r="I21" s="3" t="n">
        <v>2</v>
      </c>
    </row>
    <row r="22" customFormat="false" ht="18" hidden="false" customHeight="true" outlineLevel="0" collapsed="false">
      <c r="A22" s="4" t="n">
        <v>20</v>
      </c>
      <c r="B22" s="4" t="s">
        <v>107</v>
      </c>
      <c r="C22" s="4" t="s">
        <v>108</v>
      </c>
      <c r="D22" s="4" t="s">
        <v>109</v>
      </c>
      <c r="E22" s="4" t="s">
        <v>20</v>
      </c>
      <c r="F22" s="4" t="s">
        <v>40</v>
      </c>
      <c r="G22" s="4" t="s">
        <v>110</v>
      </c>
      <c r="H22" s="4" t="s">
        <v>16</v>
      </c>
      <c r="I22" s="4" t="n">
        <v>9</v>
      </c>
    </row>
    <row r="23" customFormat="false" ht="19.5" hidden="false" customHeight="true" outlineLevel="0" collapsed="false">
      <c r="A23" s="5"/>
      <c r="B23" s="5" t="s">
        <v>111</v>
      </c>
      <c r="C23" s="5"/>
      <c r="D23" s="5"/>
      <c r="E23" s="5"/>
      <c r="F23" s="5"/>
      <c r="G23" s="5"/>
      <c r="H23" s="5"/>
      <c r="I23" s="6" t="n">
        <f aca="false">AVERAGE(I3:I22)</f>
        <v>7.2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30" hidden="false" customHeight="true" outlineLevel="0" collapsed="false">
      <c r="A1" s="1" t="s">
        <v>112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113</v>
      </c>
      <c r="B2" s="2" t="s">
        <v>114</v>
      </c>
      <c r="C2" s="2" t="s">
        <v>16</v>
      </c>
      <c r="D2" s="2" t="s">
        <v>115</v>
      </c>
      <c r="E2" s="2" t="s">
        <v>116</v>
      </c>
    </row>
    <row r="3" customFormat="false" ht="15" hidden="false" customHeight="false" outlineLevel="0" collapsed="false">
      <c r="A3" s="3" t="s">
        <v>14</v>
      </c>
      <c r="B3" s="3" t="n">
        <v>4</v>
      </c>
      <c r="C3" s="3" t="n">
        <v>3</v>
      </c>
      <c r="D3" s="3" t="n">
        <v>1</v>
      </c>
      <c r="E3" s="7" t="n">
        <f aca="false">C3/B3</f>
        <v>0.75</v>
      </c>
    </row>
    <row r="4" customFormat="false" ht="15" hidden="false" customHeight="false" outlineLevel="0" collapsed="false">
      <c r="A4" s="4" t="s">
        <v>21</v>
      </c>
      <c r="B4" s="4" t="n">
        <v>4</v>
      </c>
      <c r="C4" s="4" t="n">
        <v>3</v>
      </c>
      <c r="D4" s="4" t="n">
        <v>1</v>
      </c>
      <c r="E4" s="8" t="n">
        <f aca="false">C4/B4</f>
        <v>0.75</v>
      </c>
    </row>
    <row r="5" customFormat="false" ht="15" hidden="false" customHeight="false" outlineLevel="0" collapsed="false">
      <c r="A5" s="3" t="s">
        <v>27</v>
      </c>
      <c r="B5" s="3" t="n">
        <v>3</v>
      </c>
      <c r="C5" s="3" t="n">
        <v>1</v>
      </c>
      <c r="D5" s="3" t="n">
        <v>2</v>
      </c>
      <c r="E5" s="7" t="n">
        <f aca="false">C5/B5</f>
        <v>0.333333333333333</v>
      </c>
    </row>
    <row r="6" customFormat="false" ht="15" hidden="false" customHeight="false" outlineLevel="0" collapsed="false">
      <c r="A6" s="4" t="s">
        <v>34</v>
      </c>
      <c r="B6" s="4" t="n">
        <v>3</v>
      </c>
      <c r="C6" s="4" t="n">
        <v>3</v>
      </c>
      <c r="D6" s="4" t="n">
        <v>0</v>
      </c>
      <c r="E6" s="8" t="n">
        <f aca="false">C6/B6</f>
        <v>1</v>
      </c>
    </row>
    <row r="7" customFormat="false" ht="15" hidden="false" customHeight="false" outlineLevel="0" collapsed="false">
      <c r="A7" s="3" t="s">
        <v>40</v>
      </c>
      <c r="B7" s="3" t="n">
        <v>3</v>
      </c>
      <c r="C7" s="3" t="n">
        <v>2</v>
      </c>
      <c r="D7" s="3" t="n">
        <v>1</v>
      </c>
      <c r="E7" s="7" t="n">
        <f aca="false">C7/B7</f>
        <v>0.666666666666667</v>
      </c>
    </row>
    <row r="8" customFormat="false" ht="15" hidden="false" customHeight="false" outlineLevel="0" collapsed="false">
      <c r="A8" s="4" t="s">
        <v>47</v>
      </c>
      <c r="B8" s="4" t="n">
        <v>3</v>
      </c>
      <c r="C8" s="4" t="n">
        <v>3</v>
      </c>
      <c r="D8" s="4" t="n">
        <v>0</v>
      </c>
      <c r="E8" s="8" t="n">
        <f aca="false">C8/B8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2026-06-11T11:11:07Z</dcterms:created>
  <dc:creator>openpyxl</dc:creator>
  <dc:description/>
  <dc:language>en-US</dc:language>
  <cp:lastModifiedBy/>
  <dcterms:modified xsi:type="dcterms:W3CDTF">2026-06-11T11:11:28Z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