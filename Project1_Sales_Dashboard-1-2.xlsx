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ales Data" sheetId="1" state="visible" r:id="rId3"/>
    <sheet name="Region Pivo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<sst xmlns="http://schemas.openxmlformats.org/spreadsheetml/2006/main" count="99" uniqueCount="51">
  <si>
    <t xml:space="preserve">PROJECT 1: SALES DASHBOARD – Monthly Sales Performance (FY 2024-25)</t>
  </si>
  <si>
    <t xml:space="preserve">Sr No</t>
  </si>
  <si>
    <t xml:space="preserve">Month</t>
  </si>
  <si>
    <t xml:space="preserve">Region</t>
  </si>
  <si>
    <t xml:space="preserve">Product Category</t>
  </si>
  <si>
    <t xml:space="preserve">Sales Rep</t>
  </si>
  <si>
    <t xml:space="preserve">Sales (₹)</t>
  </si>
  <si>
    <t xml:space="preserve">Target (₹)</t>
  </si>
  <si>
    <t xml:space="preserve">Achievement (%)</t>
  </si>
  <si>
    <t xml:space="preserve">April 2024</t>
  </si>
  <si>
    <t xml:space="preserve">North</t>
  </si>
  <si>
    <t xml:space="preserve">Electronics</t>
  </si>
  <si>
    <t xml:space="preserve">Rajesh Sharma</t>
  </si>
  <si>
    <t xml:space="preserve">South</t>
  </si>
  <si>
    <t xml:space="preserve">FMCG</t>
  </si>
  <si>
    <t xml:space="preserve">Priya Nair</t>
  </si>
  <si>
    <t xml:space="preserve">May 2024</t>
  </si>
  <si>
    <t xml:space="preserve">East</t>
  </si>
  <si>
    <t xml:space="preserve">Apparel</t>
  </si>
  <si>
    <t xml:space="preserve">Suresh Patel</t>
  </si>
  <si>
    <t xml:space="preserve">West</t>
  </si>
  <si>
    <t xml:space="preserve">Anjali Mehta</t>
  </si>
  <si>
    <t xml:space="preserve">June 2024</t>
  </si>
  <si>
    <t xml:space="preserve">Vikram Singh</t>
  </si>
  <si>
    <t xml:space="preserve">Deepa Rao</t>
  </si>
  <si>
    <t xml:space="preserve">July 2024</t>
  </si>
  <si>
    <t xml:space="preserve">Arjun Kumar</t>
  </si>
  <si>
    <t xml:space="preserve">Sneha Joshi</t>
  </si>
  <si>
    <t xml:space="preserve">August 2024</t>
  </si>
  <si>
    <t xml:space="preserve">Rohit Verma</t>
  </si>
  <si>
    <t xml:space="preserve">Kavitha Reddy</t>
  </si>
  <si>
    <t xml:space="preserve">September 2024</t>
  </si>
  <si>
    <t xml:space="preserve">Manoj Tiwari</t>
  </si>
  <si>
    <t xml:space="preserve">Pooja Iyer</t>
  </si>
  <si>
    <t xml:space="preserve">October 2024</t>
  </si>
  <si>
    <t xml:space="preserve">Amit Gupta</t>
  </si>
  <si>
    <t xml:space="preserve">Lakshmi Pillai</t>
  </si>
  <si>
    <t xml:space="preserve">November 2024</t>
  </si>
  <si>
    <t xml:space="preserve">Sanjay Dubey</t>
  </si>
  <si>
    <t xml:space="preserve">Meena Krishnan</t>
  </si>
  <si>
    <t xml:space="preserve">December 2024</t>
  </si>
  <si>
    <t xml:space="preserve">Rahul Agarwal</t>
  </si>
  <si>
    <t xml:space="preserve">Divya Bansal</t>
  </si>
  <si>
    <t xml:space="preserve">January 2025</t>
  </si>
  <si>
    <t xml:space="preserve">Nitin Chandra</t>
  </si>
  <si>
    <t xml:space="preserve">February 2025</t>
  </si>
  <si>
    <t xml:space="preserve">Smita Desai</t>
  </si>
  <si>
    <t xml:space="preserve">TOTAL / AVERAGE</t>
  </si>
  <si>
    <t xml:space="preserve">Regional Sales Summary – Pivot Analysis</t>
  </si>
  <si>
    <t xml:space="preserve">Total Sales (₹)</t>
  </si>
  <si>
    <t xml:space="preserve">Total Target (₹)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</si>
</sst>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D7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 Pivot'!B2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Pivot'!$A$3:$A$6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Pivot'!$B$3:$B$6</c:f>
              <c:numCache>
                <c:formatCode>\₹#,##0</c:formatCode>
                <c:ptCount val="4"/>
                <c:pt idx="0">
                  <c:v>2305000</c:v>
                </c:pt>
                <c:pt idx="1">
                  <c:v>1835000</c:v>
                </c:pt>
                <c:pt idx="2">
                  <c:v>2090000</c:v>
                </c:pt>
                <c:pt idx="3">
                  <c:v>2260000</c:v>
                </c:pt>
              </c:numCache>
            </c:numRef>
          </c:val>
        </c:ser>
        <c:ser>
          <c:idx val="1"/>
          <c:order val="1"/>
          <c:tx>
            <c:strRef>
              <c:f>'Region Pivot'!C2</c:f>
              <c:strCache>
                <c:ptCount val="1"/>
                <c:pt idx="0">
                  <c:v>Total Target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Pivot'!$A$3:$A$6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Pivot'!$C$3:$C$6</c:f>
              <c:numCache>
                <c:formatCode>\₹#,##0</c:formatCode>
                <c:ptCount val="4"/>
                <c:pt idx="0">
                  <c:v>2270000</c:v>
                </c:pt>
                <c:pt idx="1">
                  <c:v>1810000</c:v>
                </c:pt>
                <c:pt idx="2">
                  <c:v>2070000</c:v>
                </c:pt>
                <c:pt idx="3">
                  <c:v>2210000</c:v>
                </c:pt>
              </c:numCache>
            </c:numRef>
          </c:val>
        </c:ser>
        <c:gapWidth val="150"/>
        <c:overlap val="0"/>
        <c:axId val="89481704"/>
        <c:axId val="21619591"/>
      </c:barChart>
      <c:catAx>
        <c:axId val="89481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19591"/>
        <c:crosses val="autoZero"/>
        <c:auto val="1"/>
        <c:lblAlgn val="ctr"/>
        <c:lblOffset val="100"/>
        <c:noMultiLvlLbl val="0"/>
      </c:catAx>
      <c:valAx>
        <c:axId val="21619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817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23</xdr:row>
      <xdr:rowOff>42840</xdr:rowOff>
    </xdr:to>
    <xdr:graphicFrame>
      <xdr:nvGraphicFramePr>
        <xdr:cNvPr id="0" name="Chart 1"/>
        <xdr:cNvGraphicFramePr/>
      </xdr:nvGraphicFramePr>
      <xdr:xfrm>
        <a:off x="6250320" y="380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7" min="6" style="0" width="15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" hidden="false" customHeight="true" outlineLevel="0" collapsed="false">
      <c r="A3" s="3" t="n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4" t="n">
        <v>485000</v>
      </c>
      <c r="G3" s="4" t="n">
        <v>500000</v>
      </c>
      <c r="H3" s="5" t="n">
        <f aca="false">F3/G3</f>
        <v>0.97</v>
      </c>
    </row>
    <row r="4" customFormat="false" ht="18" hidden="false" customHeight="true" outlineLevel="0" collapsed="false">
      <c r="A4" s="6" t="n">
        <v>2</v>
      </c>
      <c r="B4" s="6" t="s">
        <v>9</v>
      </c>
      <c r="C4" s="6" t="s">
        <v>13</v>
      </c>
      <c r="D4" s="6" t="s">
        <v>14</v>
      </c>
      <c r="E4" s="6" t="s">
        <v>15</v>
      </c>
      <c r="F4" s="7" t="n">
        <v>320000</v>
      </c>
      <c r="G4" s="7" t="n">
        <v>300000</v>
      </c>
      <c r="H4" s="8" t="n">
        <f aca="false">F4/G4</f>
        <v>1.06666666666667</v>
      </c>
    </row>
    <row r="5" customFormat="false" ht="18" hidden="false" customHeight="true" outlineLevel="0" collapsed="false">
      <c r="A5" s="3" t="n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4" t="n">
        <v>275000</v>
      </c>
      <c r="G5" s="4" t="n">
        <v>280000</v>
      </c>
      <c r="H5" s="5" t="n">
        <f aca="false">F5/G5</f>
        <v>0.982142857142857</v>
      </c>
    </row>
    <row r="6" customFormat="false" ht="18" hidden="false" customHeight="true" outlineLevel="0" collapsed="false">
      <c r="A6" s="6" t="n">
        <v>4</v>
      </c>
      <c r="B6" s="6" t="s">
        <v>16</v>
      </c>
      <c r="C6" s="6" t="s">
        <v>20</v>
      </c>
      <c r="D6" s="6" t="s">
        <v>11</v>
      </c>
      <c r="E6" s="6" t="s">
        <v>21</v>
      </c>
      <c r="F6" s="7" t="n">
        <v>610000</v>
      </c>
      <c r="G6" s="7" t="n">
        <v>600000</v>
      </c>
      <c r="H6" s="8" t="n">
        <f aca="false">F6/G6</f>
        <v>1.01666666666667</v>
      </c>
    </row>
    <row r="7" customFormat="false" ht="18" hidden="false" customHeight="true" outlineLevel="0" collapsed="false">
      <c r="A7" s="3" t="n">
        <v>5</v>
      </c>
      <c r="B7" s="3" t="s">
        <v>22</v>
      </c>
      <c r="C7" s="3" t="s">
        <v>10</v>
      </c>
      <c r="D7" s="3" t="s">
        <v>14</v>
      </c>
      <c r="E7" s="3" t="s">
        <v>23</v>
      </c>
      <c r="F7" s="4" t="n">
        <v>415000</v>
      </c>
      <c r="G7" s="4" t="n">
        <v>400000</v>
      </c>
      <c r="H7" s="5" t="n">
        <f aca="false">F7/G7</f>
        <v>1.0375</v>
      </c>
    </row>
    <row r="8" customFormat="false" ht="18" hidden="false" customHeight="true" outlineLevel="0" collapsed="false">
      <c r="A8" s="6" t="n">
        <v>6</v>
      </c>
      <c r="B8" s="6" t="s">
        <v>22</v>
      </c>
      <c r="C8" s="6" t="s">
        <v>13</v>
      </c>
      <c r="D8" s="6" t="s">
        <v>18</v>
      </c>
      <c r="E8" s="6" t="s">
        <v>24</v>
      </c>
      <c r="F8" s="7" t="n">
        <v>190000</v>
      </c>
      <c r="G8" s="7" t="n">
        <v>200000</v>
      </c>
      <c r="H8" s="8" t="n">
        <f aca="false">F8/G8</f>
        <v>0.95</v>
      </c>
    </row>
    <row r="9" customFormat="false" ht="18" hidden="false" customHeight="true" outlineLevel="0" collapsed="false">
      <c r="A9" s="3" t="n">
        <v>7</v>
      </c>
      <c r="B9" s="3" t="s">
        <v>25</v>
      </c>
      <c r="C9" s="3" t="s">
        <v>17</v>
      </c>
      <c r="D9" s="3" t="s">
        <v>11</v>
      </c>
      <c r="E9" s="3" t="s">
        <v>26</v>
      </c>
      <c r="F9" s="4" t="n">
        <v>530000</v>
      </c>
      <c r="G9" s="4" t="n">
        <v>520000</v>
      </c>
      <c r="H9" s="5" t="n">
        <f aca="false">F9/G9</f>
        <v>1.01923076923077</v>
      </c>
    </row>
    <row r="10" customFormat="false" ht="18" hidden="false" customHeight="true" outlineLevel="0" collapsed="false">
      <c r="A10" s="6" t="n">
        <v>8</v>
      </c>
      <c r="B10" s="6" t="s">
        <v>25</v>
      </c>
      <c r="C10" s="6" t="s">
        <v>20</v>
      </c>
      <c r="D10" s="6" t="s">
        <v>14</v>
      </c>
      <c r="E10" s="6" t="s">
        <v>27</v>
      </c>
      <c r="F10" s="7" t="n">
        <v>345000</v>
      </c>
      <c r="G10" s="7" t="n">
        <v>350000</v>
      </c>
      <c r="H10" s="8" t="n">
        <f aca="false">F10/G10</f>
        <v>0.985714285714286</v>
      </c>
    </row>
    <row r="11" customFormat="false" ht="18" hidden="false" customHeight="true" outlineLevel="0" collapsed="false">
      <c r="A11" s="3" t="n">
        <v>9</v>
      </c>
      <c r="B11" s="3" t="s">
        <v>28</v>
      </c>
      <c r="C11" s="3" t="s">
        <v>10</v>
      </c>
      <c r="D11" s="3" t="s">
        <v>18</v>
      </c>
      <c r="E11" s="3" t="s">
        <v>29</v>
      </c>
      <c r="F11" s="4" t="n">
        <v>225000</v>
      </c>
      <c r="G11" s="4" t="n">
        <v>220000</v>
      </c>
      <c r="H11" s="5" t="n">
        <f aca="false">F11/G11</f>
        <v>1.02272727272727</v>
      </c>
    </row>
    <row r="12" customFormat="false" ht="18" hidden="false" customHeight="true" outlineLevel="0" collapsed="false">
      <c r="A12" s="6" t="n">
        <v>10</v>
      </c>
      <c r="B12" s="6" t="s">
        <v>28</v>
      </c>
      <c r="C12" s="6" t="s">
        <v>13</v>
      </c>
      <c r="D12" s="6" t="s">
        <v>11</v>
      </c>
      <c r="E12" s="6" t="s">
        <v>30</v>
      </c>
      <c r="F12" s="7" t="n">
        <v>590000</v>
      </c>
      <c r="G12" s="7" t="n">
        <v>580000</v>
      </c>
      <c r="H12" s="8" t="n">
        <f aca="false">F12/G12</f>
        <v>1.01724137931034</v>
      </c>
    </row>
    <row r="13" customFormat="false" ht="18" hidden="false" customHeight="true" outlineLevel="0" collapsed="false">
      <c r="A13" s="3" t="n">
        <v>11</v>
      </c>
      <c r="B13" s="3" t="s">
        <v>31</v>
      </c>
      <c r="C13" s="3" t="s">
        <v>17</v>
      </c>
      <c r="D13" s="3" t="s">
        <v>14</v>
      </c>
      <c r="E13" s="3" t="s">
        <v>32</v>
      </c>
      <c r="F13" s="4" t="n">
        <v>380000</v>
      </c>
      <c r="G13" s="4" t="n">
        <v>370000</v>
      </c>
      <c r="H13" s="5" t="n">
        <f aca="false">F13/G13</f>
        <v>1.02702702702703</v>
      </c>
    </row>
    <row r="14" customFormat="false" ht="18" hidden="false" customHeight="true" outlineLevel="0" collapsed="false">
      <c r="A14" s="6" t="n">
        <v>12</v>
      </c>
      <c r="B14" s="6" t="s">
        <v>31</v>
      </c>
      <c r="C14" s="6" t="s">
        <v>20</v>
      </c>
      <c r="D14" s="6" t="s">
        <v>18</v>
      </c>
      <c r="E14" s="6" t="s">
        <v>33</v>
      </c>
      <c r="F14" s="7" t="n">
        <v>210000</v>
      </c>
      <c r="G14" s="7" t="n">
        <v>200000</v>
      </c>
      <c r="H14" s="8" t="n">
        <f aca="false">F14/G14</f>
        <v>1.05</v>
      </c>
    </row>
    <row r="15" customFormat="false" ht="18" hidden="false" customHeight="true" outlineLevel="0" collapsed="false">
      <c r="A15" s="3" t="n">
        <v>13</v>
      </c>
      <c r="B15" s="3" t="s">
        <v>34</v>
      </c>
      <c r="C15" s="3" t="s">
        <v>10</v>
      </c>
      <c r="D15" s="3" t="s">
        <v>11</v>
      </c>
      <c r="E15" s="3" t="s">
        <v>35</v>
      </c>
      <c r="F15" s="4" t="n">
        <v>670000</v>
      </c>
      <c r="G15" s="4" t="n">
        <v>650000</v>
      </c>
      <c r="H15" s="5" t="n">
        <f aca="false">F15/G15</f>
        <v>1.03076923076923</v>
      </c>
    </row>
    <row r="16" customFormat="false" ht="18" hidden="false" customHeight="true" outlineLevel="0" collapsed="false">
      <c r="A16" s="6" t="n">
        <v>14</v>
      </c>
      <c r="B16" s="6" t="s">
        <v>34</v>
      </c>
      <c r="C16" s="6" t="s">
        <v>13</v>
      </c>
      <c r="D16" s="6" t="s">
        <v>14</v>
      </c>
      <c r="E16" s="6" t="s">
        <v>36</v>
      </c>
      <c r="F16" s="7" t="n">
        <v>440000</v>
      </c>
      <c r="G16" s="7" t="n">
        <v>430000</v>
      </c>
      <c r="H16" s="8" t="n">
        <f aca="false">F16/G16</f>
        <v>1.02325581395349</v>
      </c>
    </row>
    <row r="17" customFormat="false" ht="18" hidden="false" customHeight="true" outlineLevel="0" collapsed="false">
      <c r="A17" s="3" t="n">
        <v>15</v>
      </c>
      <c r="B17" s="3" t="s">
        <v>37</v>
      </c>
      <c r="C17" s="3" t="s">
        <v>17</v>
      </c>
      <c r="D17" s="3" t="s">
        <v>18</v>
      </c>
      <c r="E17" s="3" t="s">
        <v>38</v>
      </c>
      <c r="F17" s="4" t="n">
        <v>260000</v>
      </c>
      <c r="G17" s="4" t="n">
        <v>270000</v>
      </c>
      <c r="H17" s="5" t="n">
        <f aca="false">F17/G17</f>
        <v>0.962962962962963</v>
      </c>
    </row>
    <row r="18" customFormat="false" ht="18" hidden="false" customHeight="true" outlineLevel="0" collapsed="false">
      <c r="A18" s="6" t="n">
        <v>16</v>
      </c>
      <c r="B18" s="6" t="s">
        <v>37</v>
      </c>
      <c r="C18" s="6" t="s">
        <v>20</v>
      </c>
      <c r="D18" s="6" t="s">
        <v>11</v>
      </c>
      <c r="E18" s="6" t="s">
        <v>39</v>
      </c>
      <c r="F18" s="7" t="n">
        <v>720000</v>
      </c>
      <c r="G18" s="7" t="n">
        <v>700000</v>
      </c>
      <c r="H18" s="8" t="n">
        <f aca="false">F18/G18</f>
        <v>1.02857142857143</v>
      </c>
    </row>
    <row r="19" customFormat="false" ht="18" hidden="false" customHeight="true" outlineLevel="0" collapsed="false">
      <c r="A19" s="3" t="n">
        <v>17</v>
      </c>
      <c r="B19" s="3" t="s">
        <v>40</v>
      </c>
      <c r="C19" s="3" t="s">
        <v>10</v>
      </c>
      <c r="D19" s="3" t="s">
        <v>14</v>
      </c>
      <c r="E19" s="3" t="s">
        <v>41</v>
      </c>
      <c r="F19" s="4" t="n">
        <v>510000</v>
      </c>
      <c r="G19" s="4" t="n">
        <v>500000</v>
      </c>
      <c r="H19" s="5" t="n">
        <f aca="false">F19/G19</f>
        <v>1.02</v>
      </c>
    </row>
    <row r="20" customFormat="false" ht="18" hidden="false" customHeight="true" outlineLevel="0" collapsed="false">
      <c r="A20" s="6" t="n">
        <v>18</v>
      </c>
      <c r="B20" s="6" t="s">
        <v>40</v>
      </c>
      <c r="C20" s="6" t="s">
        <v>13</v>
      </c>
      <c r="D20" s="6" t="s">
        <v>18</v>
      </c>
      <c r="E20" s="6" t="s">
        <v>42</v>
      </c>
      <c r="F20" s="7" t="n">
        <v>295000</v>
      </c>
      <c r="G20" s="7" t="n">
        <v>300000</v>
      </c>
      <c r="H20" s="8" t="n">
        <f aca="false">F20/G20</f>
        <v>0.983333333333333</v>
      </c>
    </row>
    <row r="21" customFormat="false" ht="18" hidden="false" customHeight="true" outlineLevel="0" collapsed="false">
      <c r="A21" s="3" t="n">
        <v>19</v>
      </c>
      <c r="B21" s="3" t="s">
        <v>43</v>
      </c>
      <c r="C21" s="3" t="s">
        <v>17</v>
      </c>
      <c r="D21" s="3" t="s">
        <v>11</v>
      </c>
      <c r="E21" s="3" t="s">
        <v>44</v>
      </c>
      <c r="F21" s="4" t="n">
        <v>645000</v>
      </c>
      <c r="G21" s="4" t="n">
        <v>630000</v>
      </c>
      <c r="H21" s="5" t="n">
        <f aca="false">F21/G21</f>
        <v>1.02380952380952</v>
      </c>
    </row>
    <row r="22" customFormat="false" ht="18" hidden="false" customHeight="true" outlineLevel="0" collapsed="false">
      <c r="A22" s="6" t="n">
        <v>20</v>
      </c>
      <c r="B22" s="6" t="s">
        <v>45</v>
      </c>
      <c r="C22" s="6" t="s">
        <v>20</v>
      </c>
      <c r="D22" s="6" t="s">
        <v>14</v>
      </c>
      <c r="E22" s="6" t="s">
        <v>46</v>
      </c>
      <c r="F22" s="7" t="n">
        <v>375000</v>
      </c>
      <c r="G22" s="7" t="n">
        <v>360000</v>
      </c>
      <c r="H22" s="8" t="n">
        <f aca="false">F22/G22</f>
        <v>1.04166666666667</v>
      </c>
    </row>
    <row r="23" customFormat="false" ht="19.5" hidden="false" customHeight="true" outlineLevel="0" collapsed="false">
      <c r="A23" s="9"/>
      <c r="B23" s="9" t="s">
        <v>47</v>
      </c>
      <c r="C23" s="9"/>
      <c r="D23" s="9"/>
      <c r="E23" s="9"/>
      <c r="F23" s="10" t="n">
        <f aca="false">SUM(F3:F22)</f>
        <v>8490000</v>
      </c>
      <c r="G23" s="10" t="n">
        <f aca="false">SUM(G3:G22)</f>
        <v>8360000</v>
      </c>
      <c r="H23" s="11" t="n">
        <f aca="false">AVERAGE(H3:H22)</f>
        <v>1.01296429422763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</v>
      </c>
      <c r="B2" s="2" t="s">
        <v>49</v>
      </c>
      <c r="C2" s="2" t="s">
        <v>50</v>
      </c>
      <c r="D2" s="2" t="s">
        <v>8</v>
      </c>
    </row>
    <row r="3" customFormat="false" ht="15" hidden="false" customHeight="false" outlineLevel="0" collapsed="false">
      <c r="A3" s="3" t="s">
        <v>10</v>
      </c>
      <c r="B3" s="4" t="n">
        <v>2305000</v>
      </c>
      <c r="C3" s="4" t="n">
        <v>2270000</v>
      </c>
      <c r="D3" s="5" t="n">
        <f aca="false">B3/C3</f>
        <v>1.01541850220264</v>
      </c>
    </row>
    <row r="4" customFormat="false" ht="15" hidden="false" customHeight="false" outlineLevel="0" collapsed="false">
      <c r="A4" s="6" t="s">
        <v>13</v>
      </c>
      <c r="B4" s="7" t="n">
        <v>1835000</v>
      </c>
      <c r="C4" s="7" t="n">
        <v>1810000</v>
      </c>
      <c r="D4" s="8" t="n">
        <f aca="false">B4/C4</f>
        <v>1.01381215469613</v>
      </c>
    </row>
    <row r="5" customFormat="false" ht="15" hidden="false" customHeight="false" outlineLevel="0" collapsed="false">
      <c r="A5" s="3" t="s">
        <v>17</v>
      </c>
      <c r="B5" s="4" t="n">
        <v>2090000</v>
      </c>
      <c r="C5" s="4" t="n">
        <v>2070000</v>
      </c>
      <c r="D5" s="5" t="n">
        <f aca="false">B5/C5</f>
        <v>1.00966183574879</v>
      </c>
    </row>
    <row r="6" customFormat="false" ht="15" hidden="false" customHeight="false" outlineLevel="0" collapsed="false">
      <c r="A6" s="6" t="s">
        <v>20</v>
      </c>
      <c r="B6" s="7" t="n">
        <v>2260000</v>
      </c>
      <c r="C6" s="7" t="n">
        <v>2210000</v>
      </c>
      <c r="D6" s="8" t="n">
        <f aca="false">B6/C6</f>
        <v>1.02262443438914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2026-06-11T11:11:07Z</dcterms:created>
  <dc:creator>openpyxl</dc:creator>
  <dc:description/>
  <dc:language>en-US</dc:language>
  <cp:lastModifiedBy/>
  <dcterms:modified xsi:type="dcterms:W3CDTF">2026-06-11T11:11:26Z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