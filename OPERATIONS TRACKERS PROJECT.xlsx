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C1AB48E6338D506/Documents/"/>
    </mc:Choice>
  </mc:AlternateContent>
  <xr:revisionPtr revIDLastSave="0" documentId="8_{2E92C1EC-8DCB-489F-95F8-57B0C338D191}" xr6:coauthVersionLast="47" xr6:coauthVersionMax="47" xr10:uidLastSave="{00000000-0000-0000-0000-000000000000}"/>
  <bookViews>
    <workbookView xWindow="-110" yWindow="-110" windowWidth="19420" windowHeight="10300" xr2:uid="{A51AC95C-357A-4A92-AC7A-D78EFF5EF4AD}"/>
  </bookViews>
  <sheets>
    <sheet name="Operations Tracker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D18" i="1"/>
  <c r="B18" i="1"/>
  <c r="D17" i="1"/>
  <c r="B17" i="1"/>
  <c r="D16" i="1"/>
  <c r="B16" i="1"/>
</calcChain>
</file>

<file path=xl/sharedStrings.xml><?xml version="1.0" encoding="utf-8"?>
<sst xmlns="http://schemas.openxmlformats.org/spreadsheetml/2006/main" count="92" uniqueCount="66">
  <si>
    <t xml:space="preserve">  BUSINESS OPERATIONS TRACKER</t>
  </si>
  <si>
    <t>Task Name</t>
  </si>
  <si>
    <t>Assigned To</t>
  </si>
  <si>
    <t>Start Date</t>
  </si>
  <si>
    <t>Due Date</t>
  </si>
  <si>
    <t>Status</t>
  </si>
  <si>
    <t>Completion %</t>
  </si>
  <si>
    <t>Priority</t>
  </si>
  <si>
    <t>Remarks</t>
  </si>
  <si>
    <t>Create employee database</t>
  </si>
  <si>
    <t>Ravi Kumar</t>
  </si>
  <si>
    <t>01-Jun-25</t>
  </si>
  <si>
    <t>10-Jun-25</t>
  </si>
  <si>
    <t>Completed</t>
  </si>
  <si>
    <t>High</t>
  </si>
  <si>
    <t>Done on time</t>
  </si>
  <si>
    <t>Design onboarding form</t>
  </si>
  <si>
    <t>Priya Nair</t>
  </si>
  <si>
    <t>03-Jun-25</t>
  </si>
  <si>
    <t>12-Jun-25</t>
  </si>
  <si>
    <t>Medium</t>
  </si>
  <si>
    <t>Reviewed by HR</t>
  </si>
  <si>
    <t>Monthly expense report</t>
  </si>
  <si>
    <t>Ankit Shah</t>
  </si>
  <si>
    <t>05-Jun-25</t>
  </si>
  <si>
    <t>15-Jun-25</t>
  </si>
  <si>
    <t>In Progress</t>
  </si>
  <si>
    <t>Pending approval</t>
  </si>
  <si>
    <t>Update vendor contracts</t>
  </si>
  <si>
    <t>Sneha Reddy</t>
  </si>
  <si>
    <t>07-Jun-25</t>
  </si>
  <si>
    <t>20-Jun-25</t>
  </si>
  <si>
    <t>Legal review pending</t>
  </si>
  <si>
    <t>Prepare training materials</t>
  </si>
  <si>
    <t>Darshan S</t>
  </si>
  <si>
    <t>08-Jun-25</t>
  </si>
  <si>
    <t>22-Jun-25</t>
  </si>
  <si>
    <t>Slides in progress</t>
  </si>
  <si>
    <t>Customer feedback survey</t>
  </si>
  <si>
    <t>Meera Joshi</t>
  </si>
  <si>
    <t>25-Jun-25</t>
  </si>
  <si>
    <t>Pending</t>
  </si>
  <si>
    <t>Low</t>
  </si>
  <si>
    <t>Not started</t>
  </si>
  <si>
    <t>IT equipment audit</t>
  </si>
  <si>
    <t>Rohit Verma</t>
  </si>
  <si>
    <t>11-Jun-25</t>
  </si>
  <si>
    <t>28-Jun-25</t>
  </si>
  <si>
    <t>Scheduled</t>
  </si>
  <si>
    <t>Q2 performance review</t>
  </si>
  <si>
    <t>30-Jun-25</t>
  </si>
  <si>
    <t>Awaiting data</t>
  </si>
  <si>
    <t>Office supply procurement</t>
  </si>
  <si>
    <t>02-Jun-25</t>
  </si>
  <si>
    <t>Delivered</t>
  </si>
  <si>
    <t>Website content update</t>
  </si>
  <si>
    <t>18-Jun-25</t>
  </si>
  <si>
    <t>Draft ready</t>
  </si>
  <si>
    <t xml:space="preserve">  SUMMARY DASHBOARD</t>
  </si>
  <si>
    <t>Metric</t>
  </si>
  <si>
    <t>Value</t>
  </si>
  <si>
    <t>Total Tasks</t>
  </si>
  <si>
    <t>Completion Rate</t>
  </si>
  <si>
    <t>High Priority</t>
  </si>
  <si>
    <t>Avg Completion</t>
  </si>
  <si>
    <t>Overdue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</si>
</sst>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70AD47"/>
      <name val="Arial"/>
      <family val="2"/>
    </font>
    <font>
      <b/>
      <sz val="10"/>
      <name val="Arial"/>
      <family val="2"/>
    </font>
    <font>
      <b/>
      <sz val="10"/>
      <color rgb="FFC00000"/>
      <name val="Arial"/>
      <family val="2"/>
    </font>
    <font>
      <b/>
      <sz val="10"/>
      <color rgb="FFED7D31"/>
      <name val="Arial"/>
      <family val="2"/>
    </font>
    <font>
      <b/>
      <sz val="10"/>
      <color rgb="FFBF8F00"/>
      <name val="Arial"/>
      <family val="2"/>
    </font>
    <font>
      <b/>
      <sz val="10"/>
      <color rgb="FFC55A11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'Operations Tracker'!$D$15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AE-4F31-A90E-B517D931E4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AE-4F31-A90E-B517D931E4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AE-4F31-A90E-B517D931E4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0AE-4F31-A90E-B517D931E44C}"/>
              </c:ext>
            </c:extLst>
          </c:dPt>
          <c:cat>
            <c:multiLvlStrRef>
              <c:f>'Operations Tracker'!$B$17:$D$20</c:f>
              <c:multiLvlStrCache>
                <c:ptCount val="3"/>
                <c:lvl>
                  <c:pt idx="0">
                    <c:v>4</c:v>
                  </c:pt>
                  <c:pt idx="1">
                    <c:v>52.0%</c:v>
                  </c:pt>
                  <c:pt idx="2">
                    <c:v>0</c:v>
                  </c:pt>
                </c:lvl>
                <c:lvl>
                  <c:pt idx="0">
                    <c:v>High Priority</c:v>
                  </c:pt>
                  <c:pt idx="1">
                    <c:v>Avg Completion</c:v>
                  </c:pt>
                  <c:pt idx="2">
                    <c:v>Overdue Tasks</c:v>
                  </c:pt>
                </c:lvl>
                <c:lvl>
                  <c:pt idx="0">
                    <c:v>3</c:v>
                  </c:pt>
                  <c:pt idx="1">
                    <c:v>4</c:v>
                  </c:pt>
                  <c:pt idx="2">
                    <c:v>3</c:v>
                  </c:pt>
                </c:lvl>
              </c:multiLvlStrCache>
            </c:multiLvlStrRef>
          </c:cat>
          <c:val>
            <c:numRef>
              <c:f>'Operations Tracker'!$D$16:$D$19</c:f>
              <c:numCache>
                <c:formatCode>General</c:formatCode>
                <c:ptCount val="4"/>
                <c:pt idx="0" formatCode="0.0%">
                  <c:v>0.3</c:v>
                </c:pt>
                <c:pt idx="1">
                  <c:v>4</c:v>
                </c:pt>
                <c:pt idx="2" formatCode="0.0%">
                  <c:v>0.52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AE-4F31-A90E-B517D931E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13</xdr:row>
      <xdr:rowOff>6</xdr:rowOff>
    </xdr:from>
    <xdr:to>
      <xdr:col>7</xdr:col>
      <xdr:colOff>914400</xdr:colOff>
      <xdr:row>26</xdr:row>
      <xdr:rowOff>107956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CC08D-9C13-4BC3-9881-21CD243FC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c1ab48e6338d506/Documents/Mini_Projects_Excel.xlsx" TargetMode="External"/><Relationship Id="rId1" Type="http://schemas.openxmlformats.org/officeDocument/2006/relationships/externalLinkPath" Target="Mini_Projects_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ions Tracker"/>
      <sheetName val="Sales Dashboard"/>
    </sheetNames>
    <sheetDataSet>
      <sheetData sheetId="0">
        <row r="15">
          <cell r="D15" t="str">
            <v>Value</v>
          </cell>
        </row>
        <row r="16">
          <cell r="D16">
            <v>0.3</v>
          </cell>
        </row>
        <row r="17">
          <cell r="B17">
            <v>3</v>
          </cell>
          <cell r="C17" t="str">
            <v>High Priority</v>
          </cell>
          <cell r="D17">
            <v>4</v>
          </cell>
        </row>
        <row r="18">
          <cell r="B18">
            <v>4</v>
          </cell>
          <cell r="C18" t="str">
            <v>Avg Completion</v>
          </cell>
          <cell r="D18">
            <v>0.52</v>
          </cell>
        </row>
        <row r="19">
          <cell r="B19">
            <v>3</v>
          </cell>
          <cell r="C19" t="str">
            <v>Overdue Tasks</v>
          </cell>
          <cell r="D19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A30D-9108-429F-90EF-31397443F93B}">
  <dimension ref="A1:H19"/>
  <sheetViews>
    <sheetView tabSelected="1" workbookViewId="0">
      <pane ySplit="2" topLeftCell="A10" activePane="bottomLeft" state="frozen"/>
      <selection activeCell="E1" sqref="E1"/>
      <selection pane="bottomLeft" activeCell="D16" sqref="D16"/>
    </sheetView>
  </sheetViews>
  <sheetFormatPr defaultRowHeight="14.5" x14ac:dyDescent="0.35"/>
  <cols>
    <col min="1" max="1" width="28" customWidth="1"/>
    <col min="2" max="2" width="18" customWidth="1"/>
    <col min="3" max="4" width="14" customWidth="1"/>
    <col min="5" max="5" width="16" customWidth="1"/>
    <col min="6" max="6" width="14.90625" customWidth="1"/>
    <col min="7" max="7" width="12" customWidth="1"/>
    <col min="8" max="8" width="25" customWidth="1"/>
  </cols>
  <sheetData>
    <row r="1" spans="1:8" ht="25.5" customHeight="1" x14ac:dyDescent="0.35">
      <c r="A1" s="1" t="s">
        <v>0</v>
      </c>
      <c r="B1" s="2"/>
      <c r="C1" s="2"/>
      <c r="D1" s="2"/>
      <c r="E1" s="2"/>
      <c r="F1" s="2"/>
      <c r="G1" s="2"/>
      <c r="H1" s="2"/>
    </row>
    <row r="2" spans="1:8" ht="28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5">
      <c r="A3" s="4" t="s">
        <v>9</v>
      </c>
      <c r="B3" s="4" t="s">
        <v>10</v>
      </c>
      <c r="C3" s="5" t="s">
        <v>11</v>
      </c>
      <c r="D3" s="5" t="s">
        <v>12</v>
      </c>
      <c r="E3" s="6" t="s">
        <v>13</v>
      </c>
      <c r="F3" s="7">
        <v>1</v>
      </c>
      <c r="G3" s="8" t="s">
        <v>14</v>
      </c>
      <c r="H3" s="4" t="s">
        <v>15</v>
      </c>
    </row>
    <row r="4" spans="1:8" x14ac:dyDescent="0.35">
      <c r="A4" s="9" t="s">
        <v>16</v>
      </c>
      <c r="B4" s="9" t="s">
        <v>17</v>
      </c>
      <c r="C4" s="10" t="s">
        <v>18</v>
      </c>
      <c r="D4" s="10" t="s">
        <v>19</v>
      </c>
      <c r="E4" s="6" t="s">
        <v>13</v>
      </c>
      <c r="F4" s="11">
        <v>1</v>
      </c>
      <c r="G4" s="12" t="s">
        <v>20</v>
      </c>
      <c r="H4" s="9" t="s">
        <v>21</v>
      </c>
    </row>
    <row r="5" spans="1:8" x14ac:dyDescent="0.35">
      <c r="A5" s="4" t="s">
        <v>22</v>
      </c>
      <c r="B5" s="4" t="s">
        <v>23</v>
      </c>
      <c r="C5" s="5" t="s">
        <v>24</v>
      </c>
      <c r="D5" s="5" t="s">
        <v>25</v>
      </c>
      <c r="E5" s="13" t="s">
        <v>26</v>
      </c>
      <c r="F5" s="7">
        <v>0.6</v>
      </c>
      <c r="G5" s="8" t="s">
        <v>14</v>
      </c>
      <c r="H5" s="4" t="s">
        <v>27</v>
      </c>
    </row>
    <row r="6" spans="1:8" x14ac:dyDescent="0.35">
      <c r="A6" s="9" t="s">
        <v>28</v>
      </c>
      <c r="B6" s="9" t="s">
        <v>29</v>
      </c>
      <c r="C6" s="10" t="s">
        <v>30</v>
      </c>
      <c r="D6" s="10" t="s">
        <v>31</v>
      </c>
      <c r="E6" s="13" t="s">
        <v>26</v>
      </c>
      <c r="F6" s="11">
        <v>0.4</v>
      </c>
      <c r="G6" s="12" t="s">
        <v>20</v>
      </c>
      <c r="H6" s="9" t="s">
        <v>32</v>
      </c>
    </row>
    <row r="7" spans="1:8" x14ac:dyDescent="0.35">
      <c r="A7" s="4" t="s">
        <v>33</v>
      </c>
      <c r="B7" s="4" t="s">
        <v>34</v>
      </c>
      <c r="C7" s="5" t="s">
        <v>35</v>
      </c>
      <c r="D7" s="5" t="s">
        <v>36</v>
      </c>
      <c r="E7" s="13" t="s">
        <v>26</v>
      </c>
      <c r="F7" s="7">
        <v>0.7</v>
      </c>
      <c r="G7" s="8" t="s">
        <v>14</v>
      </c>
      <c r="H7" s="4" t="s">
        <v>37</v>
      </c>
    </row>
    <row r="8" spans="1:8" x14ac:dyDescent="0.35">
      <c r="A8" s="9" t="s">
        <v>38</v>
      </c>
      <c r="B8" s="9" t="s">
        <v>39</v>
      </c>
      <c r="C8" s="10" t="s">
        <v>12</v>
      </c>
      <c r="D8" s="10" t="s">
        <v>40</v>
      </c>
      <c r="E8" s="14" t="s">
        <v>41</v>
      </c>
      <c r="F8" s="11">
        <v>0</v>
      </c>
      <c r="G8" s="15" t="s">
        <v>42</v>
      </c>
      <c r="H8" s="9" t="s">
        <v>43</v>
      </c>
    </row>
    <row r="9" spans="1:8" x14ac:dyDescent="0.35">
      <c r="A9" s="4" t="s">
        <v>44</v>
      </c>
      <c r="B9" s="4" t="s">
        <v>45</v>
      </c>
      <c r="C9" s="5" t="s">
        <v>46</v>
      </c>
      <c r="D9" s="5" t="s">
        <v>47</v>
      </c>
      <c r="E9" s="14" t="s">
        <v>41</v>
      </c>
      <c r="F9" s="7">
        <v>0</v>
      </c>
      <c r="G9" s="16" t="s">
        <v>20</v>
      </c>
      <c r="H9" s="4" t="s">
        <v>48</v>
      </c>
    </row>
    <row r="10" spans="1:8" x14ac:dyDescent="0.35">
      <c r="A10" s="9" t="s">
        <v>49</v>
      </c>
      <c r="B10" s="9" t="s">
        <v>23</v>
      </c>
      <c r="C10" s="10" t="s">
        <v>19</v>
      </c>
      <c r="D10" s="10" t="s">
        <v>50</v>
      </c>
      <c r="E10" s="14" t="s">
        <v>41</v>
      </c>
      <c r="F10" s="11">
        <v>0</v>
      </c>
      <c r="G10" s="17" t="s">
        <v>14</v>
      </c>
      <c r="H10" s="9" t="s">
        <v>51</v>
      </c>
    </row>
    <row r="11" spans="1:8" x14ac:dyDescent="0.35">
      <c r="A11" s="4" t="s">
        <v>52</v>
      </c>
      <c r="B11" s="4" t="s">
        <v>17</v>
      </c>
      <c r="C11" s="5" t="s">
        <v>53</v>
      </c>
      <c r="D11" s="5" t="s">
        <v>35</v>
      </c>
      <c r="E11" s="6" t="s">
        <v>13</v>
      </c>
      <c r="F11" s="7">
        <v>1</v>
      </c>
      <c r="G11" s="18" t="s">
        <v>42</v>
      </c>
      <c r="H11" s="4" t="s">
        <v>54</v>
      </c>
    </row>
    <row r="12" spans="1:8" x14ac:dyDescent="0.35">
      <c r="A12" s="9" t="s">
        <v>55</v>
      </c>
      <c r="B12" s="9" t="s">
        <v>29</v>
      </c>
      <c r="C12" s="10" t="s">
        <v>24</v>
      </c>
      <c r="D12" s="10" t="s">
        <v>56</v>
      </c>
      <c r="E12" s="13" t="s">
        <v>26</v>
      </c>
      <c r="F12" s="11">
        <v>0.5</v>
      </c>
      <c r="G12" s="12" t="s">
        <v>20</v>
      </c>
      <c r="H12" s="9" t="s">
        <v>57</v>
      </c>
    </row>
    <row r="13" spans="1:8" ht="10" customHeight="1" x14ac:dyDescent="0.35"/>
    <row r="14" spans="1:8" ht="26.15" customHeight="1" x14ac:dyDescent="0.35">
      <c r="A14" s="19" t="s">
        <v>58</v>
      </c>
      <c r="B14" s="2"/>
      <c r="C14" s="2"/>
      <c r="D14" s="2"/>
    </row>
    <row r="15" spans="1:8" ht="22" customHeight="1" x14ac:dyDescent="0.35">
      <c r="A15" s="20" t="s">
        <v>59</v>
      </c>
      <c r="B15" s="20" t="s">
        <v>60</v>
      </c>
      <c r="C15" s="20" t="s">
        <v>59</v>
      </c>
      <c r="D15" s="20" t="s">
        <v>60</v>
      </c>
    </row>
    <row r="16" spans="1:8" x14ac:dyDescent="0.35">
      <c r="A16" s="9" t="s">
        <v>61</v>
      </c>
      <c r="B16" s="21">
        <f>COUNTA(A3:A12)</f>
        <v>10</v>
      </c>
      <c r="C16" s="9" t="s">
        <v>62</v>
      </c>
      <c r="D16" s="22">
        <f>COUNTIF(E3:E12,"Completed")/COUNTA(E3:E12)</f>
        <v>0.3</v>
      </c>
    </row>
    <row r="17" spans="1:4" x14ac:dyDescent="0.35">
      <c r="A17" s="4" t="s">
        <v>13</v>
      </c>
      <c r="B17" s="23">
        <f>COUNTIF(E3:E12,"Completed")</f>
        <v>3</v>
      </c>
      <c r="C17" s="4" t="s">
        <v>63</v>
      </c>
      <c r="D17" s="23">
        <f>COUNTIF(G3:G12,"High")</f>
        <v>4</v>
      </c>
    </row>
    <row r="18" spans="1:4" x14ac:dyDescent="0.35">
      <c r="A18" s="9" t="s">
        <v>26</v>
      </c>
      <c r="B18" s="21">
        <f>COUNTIF(E3:E12,"In Progress")</f>
        <v>4</v>
      </c>
      <c r="C18" s="9" t="s">
        <v>64</v>
      </c>
      <c r="D18" s="22">
        <f>AVERAGE(F3:F12)</f>
        <v>0.52</v>
      </c>
    </row>
    <row r="19" spans="1:4" x14ac:dyDescent="0.35">
      <c r="A19" s="4" t="s">
        <v>41</v>
      </c>
      <c r="B19" s="23">
        <f>COUNTIF(E3:E12,"Pending")</f>
        <v>3</v>
      </c>
      <c r="C19" s="4" t="s">
        <v>65</v>
      </c>
      <c r="D19" s="23">
        <v>0</v>
      </c>
    </row>
  </sheetData>
  <mergeCells count="2">
    <mergeCell ref="A1:H1"/>
    <mergeCell ref="A14:D14"/>
  </mergeCells>
  <conditionalFormatting sqref="E2:E12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0" priority="3" operator="containsText" text="completed">
      <formula>NOT(ISERROR(SEARCH("completed",E2)))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</dc:creator>
  <cp:lastModifiedBy>Darshan S</cp:lastModifiedBy>
  <dcterms:created xsi:type="dcterms:W3CDTF">2026-06-24T19:58:29Z</dcterms:created>
  <dcterms:modified xsi:type="dcterms:W3CDTF">2026-06-24T19:58:47Z</dcterms:modified>
</cp:coreProperties>
</file>