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1AB48E6338D506/Documents/"/>
    </mc:Choice>
  </mc:AlternateContent>
  <xr:revisionPtr revIDLastSave="0" documentId="8_{9CD46BFB-3316-4A33-816C-3361B5CBF2A4}" xr6:coauthVersionLast="47" xr6:coauthVersionMax="47" xr10:uidLastSave="{00000000-0000-0000-0000-000000000000}"/>
  <bookViews>
    <workbookView xWindow="-110" yWindow="-110" windowWidth="19420" windowHeight="10300" xr2:uid="{E80C699C-7369-40EC-A983-1DFD0BFE3FEE}"/>
  </bookViews>
  <sheets>
    <sheet name="Sales Dashboard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C21" i="1"/>
  <c r="E20" i="1"/>
  <c r="C20" i="1"/>
  <c r="E19" i="1"/>
  <c r="C19" i="1"/>
  <c r="H15" i="1"/>
  <c r="F15" i="1"/>
  <c r="G15" i="1" s="1"/>
  <c r="E15" i="1"/>
  <c r="H14" i="1"/>
  <c r="G14" i="1"/>
  <c r="F14" i="1"/>
  <c r="E14" i="1"/>
  <c r="H13" i="1"/>
  <c r="F13" i="1"/>
  <c r="G13" i="1" s="1"/>
  <c r="E13" i="1"/>
  <c r="H12" i="1"/>
  <c r="G12" i="1"/>
  <c r="F12" i="1"/>
  <c r="E12" i="1"/>
  <c r="H11" i="1"/>
  <c r="F11" i="1"/>
  <c r="G11" i="1" s="1"/>
  <c r="E11" i="1"/>
  <c r="H10" i="1"/>
  <c r="G10" i="1"/>
  <c r="F10" i="1"/>
  <c r="E10" i="1"/>
  <c r="H9" i="1"/>
  <c r="F9" i="1"/>
  <c r="G9" i="1" s="1"/>
  <c r="E9" i="1"/>
  <c r="H8" i="1"/>
  <c r="G8" i="1"/>
  <c r="F8" i="1"/>
  <c r="E8" i="1"/>
  <c r="H7" i="1"/>
  <c r="F7" i="1"/>
  <c r="G7" i="1" s="1"/>
  <c r="E7" i="1"/>
  <c r="H6" i="1"/>
  <c r="G6" i="1"/>
  <c r="F6" i="1"/>
  <c r="E6" i="1"/>
  <c r="H5" i="1"/>
  <c r="F5" i="1"/>
  <c r="G5" i="1" s="1"/>
  <c r="E5" i="1"/>
  <c r="C22" i="1" s="1"/>
  <c r="H4" i="1"/>
  <c r="G4" i="1"/>
  <c r="F4" i="1"/>
  <c r="E4" i="1"/>
</calcChain>
</file>

<file path=xl/sharedStrings.xml><?xml version="1.0" encoding="utf-8"?>
<sst xmlns="http://schemas.openxmlformats.org/spreadsheetml/2006/main" count="33" uniqueCount="31">
  <si>
    <t xml:space="preserve">  SALES PERFORMANCE DASHBOARD  –  FY 2024–25</t>
  </si>
  <si>
    <t>Month</t>
  </si>
  <si>
    <t>Sales Target (₹)</t>
  </si>
  <si>
    <t>Actual Sales (₹)</t>
  </si>
  <si>
    <t>Variance (₹)</t>
  </si>
  <si>
    <t>Achievement %</t>
  </si>
  <si>
    <t>Status</t>
  </si>
  <si>
    <t>MoM Growth %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</si>
  <si>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</si>
  <si>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</si>
  <si>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</si>
  <si>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</si>
  <si>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</si>
  <si>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</si>
  <si>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</si>
  <si>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</si>
  <si>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</si>
  <si>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</si>
  <si>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</si>
  <si>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</si>
  <si>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  KEY PERFORMANCE INDICATORS</t>
  </si>
  <si>
    <t>KPI</t>
  </si>
  <si>
    <t>Value</t>
  </si>
  <si>
    <t>Total Annual Target</t>
  </si>
  <si>
    <t>Total Actual Sales</t>
  </si>
  <si>
    <t>Overall Achievement</t>
  </si>
  <si>
    <t>Best Month</t>
  </si>
  <si>
    <t>Avg Monthly Sales</t>
  </si>
  <si>
    <t>Months Target Met</t>
  </si>
  <si>
    <t>Total Variance</t>
  </si>
  <si>
    <t>Highest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</si>
</sst>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\₹#,##0;\(\₹#,##0\)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b/>
      <sz val="10"/>
      <color rgb="FF70AD47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left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6" fontId="9" fillId="5" borderId="2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60870516185476"/>
          <c:y val="0.30076443569553807"/>
          <c:w val="0.81439129483814521"/>
          <c:h val="0.61498432487605714"/>
        </c:manualLayout>
      </c:layout>
      <c:lineChart>
        <c:grouping val="stacked"/>
        <c:varyColors val="0"/>
        <c:ser>
          <c:idx val="0"/>
          <c:order val="0"/>
          <c:tx>
            <c:strRef>
              <c:f>'Sales Dashboard'!$C$3</c:f>
              <c:strCache>
                <c:ptCount val="1"/>
                <c:pt idx="0">
                  <c:v>Sales Target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Dashboard'!$C$4:$C$16</c:f>
              <c:numCache>
                <c:formatCode>\₹#,##0</c:formatCode>
                <c:ptCount val="13"/>
                <c:pt idx="0">
                  <c:v>500000</c:v>
                </c:pt>
                <c:pt idx="1">
                  <c:v>520000</c:v>
                </c:pt>
                <c:pt idx="2">
                  <c:v>540000</c:v>
                </c:pt>
                <c:pt idx="3">
                  <c:v>560000</c:v>
                </c:pt>
                <c:pt idx="4">
                  <c:v>580000</c:v>
                </c:pt>
                <c:pt idx="5">
                  <c:v>600000</c:v>
                </c:pt>
                <c:pt idx="6">
                  <c:v>620000</c:v>
                </c:pt>
                <c:pt idx="7">
                  <c:v>640000</c:v>
                </c:pt>
                <c:pt idx="8">
                  <c:v>660000</c:v>
                </c:pt>
                <c:pt idx="9">
                  <c:v>680000</c:v>
                </c:pt>
                <c:pt idx="10">
                  <c:v>700000</c:v>
                </c:pt>
                <c:pt idx="11">
                  <c:v>720000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F-49BA-A74E-D3479E5F9893}"/>
            </c:ext>
          </c:extLst>
        </c:ser>
        <c:ser>
          <c:idx val="1"/>
          <c:order val="1"/>
          <c:tx>
            <c:strRef>
              <c:f>'Sales Dashboard'!$D$3</c:f>
              <c:strCache>
                <c:ptCount val="1"/>
                <c:pt idx="0">
                  <c:v>Actual Sales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Dashboard'!$D$4:$D$16</c:f>
              <c:numCache>
                <c:formatCode>\₹#,##0</c:formatCode>
                <c:ptCount val="13"/>
                <c:pt idx="0">
                  <c:v>485000</c:v>
                </c:pt>
                <c:pt idx="1">
                  <c:v>538000</c:v>
                </c:pt>
                <c:pt idx="2">
                  <c:v>512000</c:v>
                </c:pt>
                <c:pt idx="3">
                  <c:v>590000</c:v>
                </c:pt>
                <c:pt idx="4">
                  <c:v>605000</c:v>
                </c:pt>
                <c:pt idx="5">
                  <c:v>572000</c:v>
                </c:pt>
                <c:pt idx="6">
                  <c:v>648000</c:v>
                </c:pt>
                <c:pt idx="7">
                  <c:v>670000</c:v>
                </c:pt>
                <c:pt idx="8">
                  <c:v>638000</c:v>
                </c:pt>
                <c:pt idx="9">
                  <c:v>710000</c:v>
                </c:pt>
                <c:pt idx="10">
                  <c:v>695000</c:v>
                </c:pt>
                <c:pt idx="11">
                  <c:v>755000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F-49BA-A74E-D3479E5F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74815"/>
        <c:axId val="364287775"/>
      </c:lineChart>
      <c:catAx>
        <c:axId val="36427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87775"/>
        <c:crosses val="autoZero"/>
        <c:auto val="1"/>
        <c:lblAlgn val="ctr"/>
        <c:lblOffset val="100"/>
        <c:noMultiLvlLbl val="0"/>
      </c:catAx>
      <c:valAx>
        <c:axId val="36428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7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127000</xdr:colOff>
      <xdr:row>3</xdr:row>
      <xdr:rowOff>38100</xdr:rowOff>
    </xdr:from>
    <xdr:to>
      <xdr:col>13</xdr:col>
      <xdr:colOff>311150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AEFE5-BF90-4768-A739-895F8CF3F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c1ab48e6338d506/Documents/Mini_Projects_Excel.xlsx" TargetMode="External"/><Relationship Id="rId1" Type="http://schemas.openxmlformats.org/officeDocument/2006/relationships/externalLinkPath" Target="Mini_Projects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s Tracker"/>
      <sheetName val="Sales Dashboard"/>
    </sheetNames>
    <sheetDataSet>
      <sheetData sheetId="0" refreshError="1"/>
      <sheetData sheetId="1">
        <row r="3">
          <cell r="C3" t="str">
            <v>Sales Target (₹)</v>
          </cell>
          <cell r="D3" t="str">
            <v>Actual Sales (₹)</v>
          </cell>
        </row>
        <row r="4">
          <cell r="C4">
            <v>500000</v>
          </cell>
          <cell r="D4">
            <v>485000</v>
          </cell>
        </row>
        <row r="5">
          <cell r="C5">
            <v>520000</v>
          </cell>
          <cell r="D5">
            <v>538000</v>
          </cell>
        </row>
        <row r="6">
          <cell r="C6">
            <v>540000</v>
          </cell>
          <cell r="D6">
            <v>512000</v>
          </cell>
        </row>
        <row r="7">
          <cell r="C7">
            <v>560000</v>
          </cell>
          <cell r="D7">
            <v>590000</v>
          </cell>
        </row>
        <row r="8">
          <cell r="C8">
            <v>580000</v>
          </cell>
          <cell r="D8">
            <v>605000</v>
          </cell>
        </row>
        <row r="9">
          <cell r="C9">
            <v>600000</v>
          </cell>
          <cell r="D9">
            <v>572000</v>
          </cell>
        </row>
        <row r="10">
          <cell r="C10">
            <v>620000</v>
          </cell>
          <cell r="D10">
            <v>648000</v>
          </cell>
        </row>
        <row r="11">
          <cell r="C11">
            <v>640000</v>
          </cell>
          <cell r="D11">
            <v>670000</v>
          </cell>
        </row>
        <row r="12">
          <cell r="C12">
            <v>660000</v>
          </cell>
          <cell r="D12">
            <v>638000</v>
          </cell>
        </row>
        <row r="13">
          <cell r="C13">
            <v>680000</v>
          </cell>
          <cell r="D13">
            <v>710000</v>
          </cell>
        </row>
        <row r="14">
          <cell r="C14">
            <v>700000</v>
          </cell>
          <cell r="D14">
            <v>695000</v>
          </cell>
        </row>
        <row r="15">
          <cell r="C15">
            <v>720000</v>
          </cell>
          <cell r="D15">
            <v>755000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1739-8803-499F-A72D-2A7398C8C046}">
  <dimension ref="B2:H22"/>
  <sheetViews>
    <sheetView tabSelected="1" workbookViewId="0">
      <pane ySplit="3" topLeftCell="A4" activePane="bottomLeft" state="frozen"/>
      <selection pane="bottomLeft" activeCell="C20" sqref="C20"/>
    </sheetView>
  </sheetViews>
  <sheetFormatPr defaultRowHeight="14.5" x14ac:dyDescent="0.35"/>
  <cols>
    <col min="2" max="2" width="14" customWidth="1"/>
    <col min="3" max="4" width="20" customWidth="1"/>
    <col min="5" max="5" width="18" customWidth="1"/>
    <col min="6" max="6" width="16" customWidth="1"/>
    <col min="7" max="7" width="14" customWidth="1"/>
    <col min="8" max="8" width="16" customWidth="1"/>
  </cols>
  <sheetData>
    <row r="2" spans="2:8" ht="22.5" customHeight="1" x14ac:dyDescent="0.35">
      <c r="B2" s="1" t="s">
        <v>0</v>
      </c>
      <c r="C2" s="2"/>
      <c r="D2" s="2"/>
      <c r="E2" s="2"/>
      <c r="F2" s="2"/>
      <c r="G2" s="2"/>
      <c r="H2" s="2"/>
    </row>
    <row r="3" spans="2:8" ht="28" customHeight="1" x14ac:dyDescent="0.3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2:8" x14ac:dyDescent="0.35">
      <c r="B4" s="4" t="s">
        <v>8</v>
      </c>
      <c r="C4" s="5">
        <v>500000</v>
      </c>
      <c r="D4" s="5">
        <v>485000</v>
      </c>
      <c r="E4" s="6">
        <f t="shared" ref="E4:E15" si="0">D4-C4</f>
        <v>-15000</v>
      </c>
      <c r="F4" s="7">
        <f t="shared" ref="F4:F15" si="1">D4/C4</f>
        <v>0.97</v>
      </c>
      <c r="G4" s="8" t="str">
        <f>IF(F4&gt;=1," Met"," Missed")</f>
        <v xml:space="preserve"> Missed</v>
      </c>
      <c r="H4" s="7" t="str">
        <f t="shared" ref="H4:H15" si="2">IF(ROW()-4&gt;1,(D4-D3)/D3,"-")</f>
        <v>-</v>
      </c>
    </row>
    <row r="5" spans="2:8" x14ac:dyDescent="0.35">
      <c r="B5" s="9" t="s">
        <v>9</v>
      </c>
      <c r="C5" s="10">
        <v>520000</v>
      </c>
      <c r="D5" s="10">
        <v>538000</v>
      </c>
      <c r="E5" s="11">
        <f t="shared" si="0"/>
        <v>18000</v>
      </c>
      <c r="F5" s="12">
        <f t="shared" si="1"/>
        <v>1.0346153846153847</v>
      </c>
      <c r="G5" s="8" t="str">
        <f t="shared" ref="G5:G15" si="3">IF(F5&gt;=1," Met"," Missed")</f>
        <v xml:space="preserve"> Met</v>
      </c>
      <c r="H5" s="12" t="str">
        <f t="shared" si="2"/>
        <v>-</v>
      </c>
    </row>
    <row r="6" spans="2:8" x14ac:dyDescent="0.35">
      <c r="B6" s="4" t="s">
        <v>10</v>
      </c>
      <c r="C6" s="5">
        <v>540000</v>
      </c>
      <c r="D6" s="5">
        <v>512000</v>
      </c>
      <c r="E6" s="6">
        <f t="shared" si="0"/>
        <v>-28000</v>
      </c>
      <c r="F6" s="7">
        <f t="shared" si="1"/>
        <v>0.94814814814814818</v>
      </c>
      <c r="G6" s="8" t="str">
        <f t="shared" si="3"/>
        <v xml:space="preserve"> Missed</v>
      </c>
      <c r="H6" s="7">
        <f t="shared" si="2"/>
        <v>-4.8327137546468404E-2</v>
      </c>
    </row>
    <row r="7" spans="2:8" x14ac:dyDescent="0.35">
      <c r="B7" s="9" t="s">
        <v>11</v>
      </c>
      <c r="C7" s="10">
        <v>560000</v>
      </c>
      <c r="D7" s="10">
        <v>590000</v>
      </c>
      <c r="E7" s="11">
        <f t="shared" si="0"/>
        <v>30000</v>
      </c>
      <c r="F7" s="12">
        <f t="shared" si="1"/>
        <v>1.0535714285714286</v>
      </c>
      <c r="G7" s="8" t="str">
        <f t="shared" si="3"/>
        <v xml:space="preserve"> Met</v>
      </c>
      <c r="H7" s="12">
        <f t="shared" si="2"/>
        <v>0.15234375</v>
      </c>
    </row>
    <row r="8" spans="2:8" x14ac:dyDescent="0.35">
      <c r="B8" s="4" t="s">
        <v>12</v>
      </c>
      <c r="C8" s="5">
        <v>580000</v>
      </c>
      <c r="D8" s="5">
        <v>605000</v>
      </c>
      <c r="E8" s="13">
        <f t="shared" si="0"/>
        <v>25000</v>
      </c>
      <c r="F8" s="7">
        <f t="shared" si="1"/>
        <v>1.0431034482758621</v>
      </c>
      <c r="G8" s="8" t="str">
        <f t="shared" si="3"/>
        <v xml:space="preserve"> Met</v>
      </c>
      <c r="H8" s="7">
        <f t="shared" si="2"/>
        <v>2.5423728813559324E-2</v>
      </c>
    </row>
    <row r="9" spans="2:8" x14ac:dyDescent="0.35">
      <c r="B9" s="9" t="s">
        <v>13</v>
      </c>
      <c r="C9" s="10">
        <v>600000</v>
      </c>
      <c r="D9" s="10">
        <v>572000</v>
      </c>
      <c r="E9" s="14">
        <f t="shared" si="0"/>
        <v>-28000</v>
      </c>
      <c r="F9" s="12">
        <f t="shared" si="1"/>
        <v>0.95333333333333337</v>
      </c>
      <c r="G9" s="8" t="str">
        <f t="shared" si="3"/>
        <v xml:space="preserve"> Missed</v>
      </c>
      <c r="H9" s="12">
        <f t="shared" si="2"/>
        <v>-5.4545454545454543E-2</v>
      </c>
    </row>
    <row r="10" spans="2:8" x14ac:dyDescent="0.35">
      <c r="B10" s="4" t="s">
        <v>14</v>
      </c>
      <c r="C10" s="5">
        <v>620000</v>
      </c>
      <c r="D10" s="5">
        <v>648000</v>
      </c>
      <c r="E10" s="13">
        <f t="shared" si="0"/>
        <v>28000</v>
      </c>
      <c r="F10" s="7">
        <f t="shared" si="1"/>
        <v>1.0451612903225806</v>
      </c>
      <c r="G10" s="8" t="str">
        <f t="shared" si="3"/>
        <v xml:space="preserve"> Met</v>
      </c>
      <c r="H10" s="7">
        <f t="shared" si="2"/>
        <v>0.13286713286713286</v>
      </c>
    </row>
    <row r="11" spans="2:8" x14ac:dyDescent="0.35">
      <c r="B11" s="9" t="s">
        <v>15</v>
      </c>
      <c r="C11" s="10">
        <v>640000</v>
      </c>
      <c r="D11" s="10">
        <v>670000</v>
      </c>
      <c r="E11" s="11">
        <f t="shared" si="0"/>
        <v>30000</v>
      </c>
      <c r="F11" s="12">
        <f t="shared" si="1"/>
        <v>1.046875</v>
      </c>
      <c r="G11" s="8" t="str">
        <f t="shared" si="3"/>
        <v xml:space="preserve"> Met</v>
      </c>
      <c r="H11" s="12">
        <f t="shared" si="2"/>
        <v>3.3950617283950615E-2</v>
      </c>
    </row>
    <row r="12" spans="2:8" x14ac:dyDescent="0.35">
      <c r="B12" s="4" t="s">
        <v>16</v>
      </c>
      <c r="C12" s="5">
        <v>660000</v>
      </c>
      <c r="D12" s="5">
        <v>638000</v>
      </c>
      <c r="E12" s="6">
        <f t="shared" si="0"/>
        <v>-22000</v>
      </c>
      <c r="F12" s="7">
        <f t="shared" si="1"/>
        <v>0.96666666666666667</v>
      </c>
      <c r="G12" s="8" t="str">
        <f t="shared" si="3"/>
        <v xml:space="preserve"> Missed</v>
      </c>
      <c r="H12" s="7">
        <f t="shared" si="2"/>
        <v>-4.7761194029850747E-2</v>
      </c>
    </row>
    <row r="13" spans="2:8" x14ac:dyDescent="0.35">
      <c r="B13" s="9" t="s">
        <v>17</v>
      </c>
      <c r="C13" s="10">
        <v>680000</v>
      </c>
      <c r="D13" s="10">
        <v>710000</v>
      </c>
      <c r="E13" s="11">
        <f t="shared" si="0"/>
        <v>30000</v>
      </c>
      <c r="F13" s="12">
        <f t="shared" si="1"/>
        <v>1.0441176470588236</v>
      </c>
      <c r="G13" s="8" t="str">
        <f t="shared" si="3"/>
        <v xml:space="preserve"> Met</v>
      </c>
      <c r="H13" s="12">
        <f t="shared" si="2"/>
        <v>0.11285266457680251</v>
      </c>
    </row>
    <row r="14" spans="2:8" x14ac:dyDescent="0.35">
      <c r="B14" s="4" t="s">
        <v>18</v>
      </c>
      <c r="C14" s="5">
        <v>700000</v>
      </c>
      <c r="D14" s="5">
        <v>695000</v>
      </c>
      <c r="E14" s="6">
        <f t="shared" si="0"/>
        <v>-5000</v>
      </c>
      <c r="F14" s="7">
        <f t="shared" si="1"/>
        <v>0.99285714285714288</v>
      </c>
      <c r="G14" s="8" t="str">
        <f t="shared" si="3"/>
        <v xml:space="preserve"> Missed</v>
      </c>
      <c r="H14" s="7">
        <f t="shared" si="2"/>
        <v>-2.1126760563380281E-2</v>
      </c>
    </row>
    <row r="15" spans="2:8" x14ac:dyDescent="0.35">
      <c r="B15" s="9" t="s">
        <v>19</v>
      </c>
      <c r="C15" s="10">
        <v>720000</v>
      </c>
      <c r="D15" s="10">
        <v>755000</v>
      </c>
      <c r="E15" s="11">
        <f t="shared" si="0"/>
        <v>35000</v>
      </c>
      <c r="F15" s="12">
        <f t="shared" si="1"/>
        <v>1.0486111111111112</v>
      </c>
      <c r="G15" s="8" t="str">
        <f t="shared" si="3"/>
        <v xml:space="preserve"> Met</v>
      </c>
      <c r="H15" s="12">
        <f t="shared" si="2"/>
        <v>8.6330935251798566E-2</v>
      </c>
    </row>
    <row r="16" spans="2:8" ht="10" customHeight="1" x14ac:dyDescent="0.35"/>
    <row r="17" spans="2:5" ht="26.15" customHeight="1" x14ac:dyDescent="0.35">
      <c r="B17" s="15" t="s">
        <v>20</v>
      </c>
      <c r="C17" s="2"/>
      <c r="D17" s="2"/>
      <c r="E17" s="2"/>
    </row>
    <row r="18" spans="2:5" ht="22" customHeight="1" x14ac:dyDescent="0.35">
      <c r="B18" s="16" t="s">
        <v>21</v>
      </c>
      <c r="C18" s="16" t="s">
        <v>22</v>
      </c>
      <c r="D18" s="16" t="s">
        <v>21</v>
      </c>
      <c r="E18" s="16" t="s">
        <v>22</v>
      </c>
    </row>
    <row r="19" spans="2:5" x14ac:dyDescent="0.35">
      <c r="B19" s="17" t="s">
        <v>23</v>
      </c>
      <c r="C19" s="18">
        <f>SUM(C4:C15)</f>
        <v>7320000</v>
      </c>
      <c r="D19" s="17" t="s">
        <v>24</v>
      </c>
      <c r="E19" s="18">
        <f>SUM(D4:D15)</f>
        <v>7418000</v>
      </c>
    </row>
    <row r="20" spans="2:5" x14ac:dyDescent="0.35">
      <c r="B20" s="19" t="s">
        <v>25</v>
      </c>
      <c r="C20" s="20">
        <f>SUM(D4:D15)/SUM(C4:C15)</f>
        <v>1.0133879781420765</v>
      </c>
      <c r="D20" s="19" t="s">
        <v>26</v>
      </c>
      <c r="E20" s="21" t="str">
        <f>INDEX(B4:B15,MATCH(MAX(D4:D15),D4:D15,0))</f>
        <v>March</v>
      </c>
    </row>
    <row r="21" spans="2:5" x14ac:dyDescent="0.35">
      <c r="B21" s="17" t="s">
        <v>27</v>
      </c>
      <c r="C21" s="22">
        <f>AVERAGE(D4:D15)</f>
        <v>618166.66666666663</v>
      </c>
      <c r="D21" s="17" t="s">
        <v>28</v>
      </c>
      <c r="E21" s="18">
        <f>COUNTIF(F4:F15,"&gt;=1")</f>
        <v>7</v>
      </c>
    </row>
    <row r="22" spans="2:5" x14ac:dyDescent="0.35">
      <c r="B22" s="19" t="s">
        <v>29</v>
      </c>
      <c r="C22" s="23">
        <f>SUM(E4:E15)</f>
        <v>98000</v>
      </c>
      <c r="D22" s="19" t="s">
        <v>30</v>
      </c>
      <c r="E22" s="23">
        <f>MAX(D4:D15)</f>
        <v>755000</v>
      </c>
    </row>
  </sheetData>
  <mergeCells count="2">
    <mergeCell ref="B2:H2"/>
    <mergeCell ref="B17:E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</dc:creator>
  <cp:lastModifiedBy>Darshan S</cp:lastModifiedBy>
  <dcterms:created xsi:type="dcterms:W3CDTF">2026-06-24T19:57:20Z</dcterms:created>
  <dcterms:modified xsi:type="dcterms:W3CDTF">2026-06-24T20:03:04Z</dcterms:modified>
</cp:coreProperties>
</file>