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3c1ab48e6338d506/Documents/"/>
    </mc:Choice>
  </mc:AlternateContent>
  <xr:revisionPtr revIDLastSave="0" documentId="11_8051622E4118AF1220B866B252F2D9D8254E2DFD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Participant Registration" sheetId="1" r:id="rId1"/>
    <sheet name="Event Summary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18" i="2" l="1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D23" i="1"/>
</calcChain>
</file>

<file path=xl/sharedStrings.xml><?xml version="1.0" encoding="utf-8"?>
<sst xmlns="http://schemas.openxmlformats.org/spreadsheetml/2006/main" count="175" uniqueCount="114">
  <si>
    <t>PROJECT 3: SPORTS EVENT MANAGEMENT SYSTEM – State Level Tournament 2025</t>
  </si>
  <si>
    <t>Sr No</t>
  </si>
  <si>
    <t>Reg ID</t>
  </si>
  <si>
    <t>Participant Name</t>
  </si>
  <si>
    <t>Age</t>
  </si>
  <si>
    <t>State</t>
  </si>
  <si>
    <t>Sport</t>
  </si>
  <si>
    <t>Category</t>
  </si>
  <si>
    <t>Registration Date</t>
  </si>
  <si>
    <t>Attendance</t>
  </si>
  <si>
    <t>Score</t>
  </si>
  <si>
    <t>REG-001</t>
  </si>
  <si>
    <t>Aryan Khanna</t>
  </si>
  <si>
    <t>Delhi</t>
  </si>
  <si>
    <t>100m Sprint</t>
  </si>
  <si>
    <t>Open Male</t>
  </si>
  <si>
    <t>05-Jan-2025</t>
  </si>
  <si>
    <t>Present</t>
  </si>
  <si>
    <t>REG-002</t>
  </si>
  <si>
    <t>Priya Sharma</t>
  </si>
  <si>
    <t>Haryana</t>
  </si>
  <si>
    <t>Badminton</t>
  </si>
  <si>
    <t>Under-21 Female</t>
  </si>
  <si>
    <t>06-Jan-2025</t>
  </si>
  <si>
    <t>REG-003</t>
  </si>
  <si>
    <t>Karan Mehta</t>
  </si>
  <si>
    <t>Punjab</t>
  </si>
  <si>
    <t>Wrestling</t>
  </si>
  <si>
    <t>07-Jan-2025</t>
  </si>
  <si>
    <t>REG-004</t>
  </si>
  <si>
    <t>Anjali Nair</t>
  </si>
  <si>
    <t>Kerala</t>
  </si>
  <si>
    <t>Swimming 200m</t>
  </si>
  <si>
    <t>08-Jan-2025</t>
  </si>
  <si>
    <t>REG-005</t>
  </si>
  <si>
    <t>Rohit Yadav</t>
  </si>
  <si>
    <t>UP</t>
  </si>
  <si>
    <t>Kabaddi</t>
  </si>
  <si>
    <t>09-Jan-2025</t>
  </si>
  <si>
    <t>REG-006</t>
  </si>
  <si>
    <t>Divya Reddy</t>
  </si>
  <si>
    <t>Telangana</t>
  </si>
  <si>
    <t>Table Tennis</t>
  </si>
  <si>
    <t>10-Jan-2025</t>
  </si>
  <si>
    <t>Absent</t>
  </si>
  <si>
    <t>REG-007</t>
  </si>
  <si>
    <t>Sumit Bisht</t>
  </si>
  <si>
    <t>Uttarakhand</t>
  </si>
  <si>
    <t>Long Jump</t>
  </si>
  <si>
    <t>11-Jan-2025</t>
  </si>
  <si>
    <t>REG-008</t>
  </si>
  <si>
    <t>Nisha Patil</t>
  </si>
  <si>
    <t>Maharashtra</t>
  </si>
  <si>
    <t>Javelin Throw</t>
  </si>
  <si>
    <t>12-Jan-2025</t>
  </si>
  <si>
    <t>REG-009</t>
  </si>
  <si>
    <t>Vikrant Singh</t>
  </si>
  <si>
    <t>Rajasthan</t>
  </si>
  <si>
    <t>Boxing</t>
  </si>
  <si>
    <t>13-Jan-2025</t>
  </si>
  <si>
    <t>REG-010</t>
  </si>
  <si>
    <t>Pooja Iyer</t>
  </si>
  <si>
    <t>Tamil Nadu</t>
  </si>
  <si>
    <t>Gymnastics</t>
  </si>
  <si>
    <t>Under-18 Female</t>
  </si>
  <si>
    <t>14-Jan-2025</t>
  </si>
  <si>
    <t>REG-011</t>
  </si>
  <si>
    <t>Gaurav Joshi</t>
  </si>
  <si>
    <t>Gujarat</t>
  </si>
  <si>
    <t>Shooting</t>
  </si>
  <si>
    <t>15-Jan-2025</t>
  </si>
  <si>
    <t>REG-012</t>
  </si>
  <si>
    <t>Ritu Kumari</t>
  </si>
  <si>
    <t>Bihar</t>
  </si>
  <si>
    <t>Archery</t>
  </si>
  <si>
    <t>16-Jan-2025</t>
  </si>
  <si>
    <t>REG-013</t>
  </si>
  <si>
    <t>Manish Tiwari</t>
  </si>
  <si>
    <t>MP</t>
  </si>
  <si>
    <t>Football</t>
  </si>
  <si>
    <t>17-Jan-2025</t>
  </si>
  <si>
    <t>REG-014</t>
  </si>
  <si>
    <t>Sonal Desai</t>
  </si>
  <si>
    <t>Volleyball</t>
  </si>
  <si>
    <t>18-Jan-2025</t>
  </si>
  <si>
    <t>REG-015</t>
  </si>
  <si>
    <t>Deepak Chauhan</t>
  </si>
  <si>
    <t>Himachal</t>
  </si>
  <si>
    <t>Cycling 10km</t>
  </si>
  <si>
    <t>19-Jan-2025</t>
  </si>
  <si>
    <t>REG-016</t>
  </si>
  <si>
    <t>Lakshmi Menon</t>
  </si>
  <si>
    <t>High Jump</t>
  </si>
  <si>
    <t>20-Jan-2025</t>
  </si>
  <si>
    <t>REG-017</t>
  </si>
  <si>
    <t>Aditya Rao</t>
  </si>
  <si>
    <t>Karnataka</t>
  </si>
  <si>
    <t>Under-21 Male</t>
  </si>
  <si>
    <t>21-Jan-2025</t>
  </si>
  <si>
    <t>REG-018</t>
  </si>
  <si>
    <t>Shreya Gupta</t>
  </si>
  <si>
    <t>22-Jan-2025</t>
  </si>
  <si>
    <t>REG-019</t>
  </si>
  <si>
    <t>Pankaj Dubey</t>
  </si>
  <si>
    <t>Chhattisgarh</t>
  </si>
  <si>
    <t>23-Jan-2025</t>
  </si>
  <si>
    <t>REG-020</t>
  </si>
  <si>
    <t>Vandana Thakur</t>
  </si>
  <si>
    <t>24-Jan-2025</t>
  </si>
  <si>
    <t>TOTAL</t>
  </si>
  <si>
    <t>20 Participants</t>
  </si>
  <si>
    <t>Event-wise Participant &amp; Attendance Summary</t>
  </si>
  <si>
    <t>Total Registered</t>
  </si>
  <si>
    <t>Attendance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</si>
</sst>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charset val="1"/>
    </font>
    <font>
      <b/>
      <sz val="14"/>
      <color rgb="FF1F4E79"/>
      <name val="Arial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0"/>
      <color rgb="FF000000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9F9F9"/>
      </patternFill>
    </fill>
    <fill>
      <patternFill patternType="solid">
        <fgColor rgb="FF1F4E79"/>
        <bgColor rgb="FF003366"/>
      </patternFill>
    </fill>
    <fill>
      <patternFill patternType="solid">
        <fgColor rgb="FFD6E4F0"/>
        <bgColor rgb="FFD9D9D9"/>
      </patternFill>
    </fill>
    <fill>
      <patternFill patternType="solid">
        <fgColor rgb="FFFFD700"/>
        <bgColor rgb="FFFFFF00"/>
      </patternFill>
    </fill>
  </fills>
  <borders count="3">
    <border>
      <left/>
      <right/>
      <top/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164" fontId="4" fillId="5" borderId="2" xfId="0" applyNumberFormat="1" applyFont="1" applyFill="1" applyBorder="1" applyAlignment="1">
      <alignment horizontal="center" vertical="center" wrapText="1"/>
    </xf>
    <xf numFmtId="9" fontId="3" fillId="2" borderId="2" xfId="0" applyNumberFormat="1" applyFont="1" applyFill="1" applyBorder="1" applyAlignment="1">
      <alignment horizontal="center" vertical="center" wrapText="1"/>
    </xf>
    <xf numFmtId="9" fontId="3" fillId="4" borderId="2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C0504D"/>
      <rgbColor rgb="FFF9F9F9"/>
      <rgbColor rgb="FFD6E4F0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D7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Participants per Sport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'Event Summary'!$B$2</c:f>
              <c:strCache>
                <c:ptCount val="1"/>
                <c:pt idx="0">
                  <c:v>Total Registered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'Event Summary'!$A$3:$A$19</c:f>
              <c:strCache>
                <c:ptCount val="16"/>
                <c:pt idx="0">
                  <c:v>100m Sprint</c:v>
                </c:pt>
                <c:pt idx="1">
                  <c:v>Badminton</c:v>
                </c:pt>
                <c:pt idx="2">
                  <c:v>Wrestling</c:v>
                </c:pt>
                <c:pt idx="3">
                  <c:v>Swimming 200m</c:v>
                </c:pt>
                <c:pt idx="4">
                  <c:v>Kabaddi</c:v>
                </c:pt>
                <c:pt idx="5">
                  <c:v>Table Tennis</c:v>
                </c:pt>
                <c:pt idx="6">
                  <c:v>Long Jump</c:v>
                </c:pt>
                <c:pt idx="7">
                  <c:v>Javelin Throw</c:v>
                </c:pt>
                <c:pt idx="8">
                  <c:v>Boxing</c:v>
                </c:pt>
                <c:pt idx="9">
                  <c:v>Gymnastics</c:v>
                </c:pt>
                <c:pt idx="10">
                  <c:v>Shooting</c:v>
                </c:pt>
                <c:pt idx="11">
                  <c:v>Archery</c:v>
                </c:pt>
                <c:pt idx="12">
                  <c:v>Football</c:v>
                </c:pt>
                <c:pt idx="13">
                  <c:v>Volleyball</c:v>
                </c:pt>
                <c:pt idx="14">
                  <c:v>Cycling 10km</c:v>
                </c:pt>
                <c:pt idx="15">
                  <c:v>High Jump</c:v>
                </c:pt>
              </c:strCache>
            </c:strRef>
          </c:cat>
          <c:val>
            <c:numRef>
              <c:f>'Event Summary'!$B$3:$B$19</c:f>
              <c:numCache>
                <c:formatCode>General</c:formatCode>
                <c:ptCount val="17"/>
                <c:pt idx="0">
                  <c:v>2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2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57-4157-BE6E-DA0C768DF425}"/>
            </c:ext>
          </c:extLst>
        </c:ser>
        <c:ser>
          <c:idx val="1"/>
          <c:order val="1"/>
          <c:tx>
            <c:strRef>
              <c:f>'Event Summary'!$C$2</c:f>
              <c:strCache>
                <c:ptCount val="1"/>
                <c:pt idx="0">
                  <c:v>Present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'Event Summary'!$A$3:$A$19</c:f>
              <c:strCache>
                <c:ptCount val="16"/>
                <c:pt idx="0">
                  <c:v>100m Sprint</c:v>
                </c:pt>
                <c:pt idx="1">
                  <c:v>Badminton</c:v>
                </c:pt>
                <c:pt idx="2">
                  <c:v>Wrestling</c:v>
                </c:pt>
                <c:pt idx="3">
                  <c:v>Swimming 200m</c:v>
                </c:pt>
                <c:pt idx="4">
                  <c:v>Kabaddi</c:v>
                </c:pt>
                <c:pt idx="5">
                  <c:v>Table Tennis</c:v>
                </c:pt>
                <c:pt idx="6">
                  <c:v>Long Jump</c:v>
                </c:pt>
                <c:pt idx="7">
                  <c:v>Javelin Throw</c:v>
                </c:pt>
                <c:pt idx="8">
                  <c:v>Boxing</c:v>
                </c:pt>
                <c:pt idx="9">
                  <c:v>Gymnastics</c:v>
                </c:pt>
                <c:pt idx="10">
                  <c:v>Shooting</c:v>
                </c:pt>
                <c:pt idx="11">
                  <c:v>Archery</c:v>
                </c:pt>
                <c:pt idx="12">
                  <c:v>Football</c:v>
                </c:pt>
                <c:pt idx="13">
                  <c:v>Volleyball</c:v>
                </c:pt>
                <c:pt idx="14">
                  <c:v>Cycling 10km</c:v>
                </c:pt>
                <c:pt idx="15">
                  <c:v>High Jump</c:v>
                </c:pt>
              </c:strCache>
            </c:strRef>
          </c:cat>
          <c:val>
            <c:numRef>
              <c:f>'Event Summary'!$C$3:$C$19</c:f>
              <c:numCache>
                <c:formatCode>General</c:formatCode>
                <c:ptCount val="17"/>
                <c:pt idx="0">
                  <c:v>2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4">
                  <c:v>1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2</c:v>
                </c:pt>
                <c:pt idx="12">
                  <c:v>1</c:v>
                </c:pt>
                <c:pt idx="13">
                  <c:v>0</c:v>
                </c:pt>
                <c:pt idx="14">
                  <c:v>1</c:v>
                </c:pt>
                <c:pt idx="1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857-4157-BE6E-DA0C768DF4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9135413"/>
        <c:axId val="87609413"/>
      </c:barChart>
      <c:catAx>
        <c:axId val="79135413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Count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7609413"/>
        <c:crosses val="autoZero"/>
        <c:auto val="1"/>
        <c:lblAlgn val="ctr"/>
        <c:lblOffset val="100"/>
        <c:noMultiLvlLbl val="0"/>
      </c:catAx>
      <c:valAx>
        <c:axId val="87609413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Sport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913541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16</xdr:col>
      <xdr:colOff>364680</xdr:colOff>
      <xdr:row>38</xdr:row>
      <xdr:rowOff>65160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3"/>
  <sheetViews>
    <sheetView tabSelected="1" zoomScaleNormal="100" workbookViewId="0">
      <selection sqref="A1:J1"/>
    </sheetView>
  </sheetViews>
  <sheetFormatPr defaultColWidth="8.6328125" defaultRowHeight="14.5" x14ac:dyDescent="0.35"/>
  <cols>
    <col min="1" max="1" width="7" customWidth="1"/>
    <col min="2" max="2" width="10" customWidth="1"/>
    <col min="3" max="3" width="20" customWidth="1"/>
    <col min="4" max="4" width="7" customWidth="1"/>
    <col min="5" max="5" width="14" customWidth="1"/>
    <col min="6" max="8" width="18" customWidth="1"/>
    <col min="9" max="9" width="12" customWidth="1"/>
    <col min="10" max="10" width="10" customWidth="1"/>
  </cols>
  <sheetData>
    <row r="1" spans="1:10" ht="30" customHeight="1" x14ac:dyDescent="0.3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ht="21.75" customHeight="1" x14ac:dyDescent="0.3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spans="1:10" ht="18" customHeight="1" x14ac:dyDescent="0.35">
      <c r="A3" s="3">
        <v>1</v>
      </c>
      <c r="B3" s="3" t="s">
        <v>11</v>
      </c>
      <c r="C3" s="3" t="s">
        <v>12</v>
      </c>
      <c r="D3" s="3">
        <v>22</v>
      </c>
      <c r="E3" s="3" t="s">
        <v>13</v>
      </c>
      <c r="F3" s="3" t="s">
        <v>14</v>
      </c>
      <c r="G3" s="3" t="s">
        <v>15</v>
      </c>
      <c r="H3" s="3" t="s">
        <v>16</v>
      </c>
      <c r="I3" s="3" t="s">
        <v>17</v>
      </c>
      <c r="J3" s="3">
        <v>10.85</v>
      </c>
    </row>
    <row r="4" spans="1:10" ht="18" customHeight="1" x14ac:dyDescent="0.35">
      <c r="A4" s="4">
        <v>2</v>
      </c>
      <c r="B4" s="4" t="s">
        <v>18</v>
      </c>
      <c r="C4" s="4" t="s">
        <v>19</v>
      </c>
      <c r="D4" s="4">
        <v>19</v>
      </c>
      <c r="E4" s="4" t="s">
        <v>20</v>
      </c>
      <c r="F4" s="4" t="s">
        <v>21</v>
      </c>
      <c r="G4" s="4" t="s">
        <v>22</v>
      </c>
      <c r="H4" s="4" t="s">
        <v>23</v>
      </c>
      <c r="I4" s="4" t="s">
        <v>17</v>
      </c>
      <c r="J4" s="4">
        <v>0</v>
      </c>
    </row>
    <row r="5" spans="1:10" ht="18" customHeight="1" x14ac:dyDescent="0.35">
      <c r="A5" s="3">
        <v>3</v>
      </c>
      <c r="B5" s="3" t="s">
        <v>24</v>
      </c>
      <c r="C5" s="3" t="s">
        <v>25</v>
      </c>
      <c r="D5" s="3">
        <v>25</v>
      </c>
      <c r="E5" s="3" t="s">
        <v>26</v>
      </c>
      <c r="F5" s="3" t="s">
        <v>27</v>
      </c>
      <c r="G5" s="3" t="s">
        <v>15</v>
      </c>
      <c r="H5" s="3" t="s">
        <v>28</v>
      </c>
      <c r="I5" s="3" t="s">
        <v>17</v>
      </c>
      <c r="J5" s="3">
        <v>0</v>
      </c>
    </row>
    <row r="6" spans="1:10" ht="18" customHeight="1" x14ac:dyDescent="0.35">
      <c r="A6" s="4">
        <v>4</v>
      </c>
      <c r="B6" s="4" t="s">
        <v>29</v>
      </c>
      <c r="C6" s="4" t="s">
        <v>30</v>
      </c>
      <c r="D6" s="4">
        <v>20</v>
      </c>
      <c r="E6" s="4" t="s">
        <v>31</v>
      </c>
      <c r="F6" s="4" t="s">
        <v>32</v>
      </c>
      <c r="G6" s="4" t="s">
        <v>22</v>
      </c>
      <c r="H6" s="4" t="s">
        <v>33</v>
      </c>
      <c r="I6" s="4" t="s">
        <v>17</v>
      </c>
      <c r="J6" s="4">
        <v>128.4</v>
      </c>
    </row>
    <row r="7" spans="1:10" ht="18" customHeight="1" x14ac:dyDescent="0.35">
      <c r="A7" s="3">
        <v>5</v>
      </c>
      <c r="B7" s="3" t="s">
        <v>34</v>
      </c>
      <c r="C7" s="3" t="s">
        <v>35</v>
      </c>
      <c r="D7" s="3">
        <v>23</v>
      </c>
      <c r="E7" s="3" t="s">
        <v>36</v>
      </c>
      <c r="F7" s="3" t="s">
        <v>37</v>
      </c>
      <c r="G7" s="3" t="s">
        <v>15</v>
      </c>
      <c r="H7" s="3" t="s">
        <v>38</v>
      </c>
      <c r="I7" s="3" t="s">
        <v>17</v>
      </c>
      <c r="J7" s="3">
        <v>0</v>
      </c>
    </row>
    <row r="8" spans="1:10" ht="18" customHeight="1" x14ac:dyDescent="0.35">
      <c r="A8" s="4">
        <v>6</v>
      </c>
      <c r="B8" s="4" t="s">
        <v>39</v>
      </c>
      <c r="C8" s="4" t="s">
        <v>40</v>
      </c>
      <c r="D8" s="4">
        <v>18</v>
      </c>
      <c r="E8" s="4" t="s">
        <v>41</v>
      </c>
      <c r="F8" s="4" t="s">
        <v>42</v>
      </c>
      <c r="G8" s="4" t="s">
        <v>22</v>
      </c>
      <c r="H8" s="4" t="s">
        <v>43</v>
      </c>
      <c r="I8" s="4" t="s">
        <v>44</v>
      </c>
      <c r="J8" s="4">
        <v>0</v>
      </c>
    </row>
    <row r="9" spans="1:10" ht="18" customHeight="1" x14ac:dyDescent="0.35">
      <c r="A9" s="3">
        <v>7</v>
      </c>
      <c r="B9" s="3" t="s">
        <v>45</v>
      </c>
      <c r="C9" s="3" t="s">
        <v>46</v>
      </c>
      <c r="D9" s="3">
        <v>26</v>
      </c>
      <c r="E9" s="3" t="s">
        <v>47</v>
      </c>
      <c r="F9" s="3" t="s">
        <v>48</v>
      </c>
      <c r="G9" s="3" t="s">
        <v>15</v>
      </c>
      <c r="H9" s="3" t="s">
        <v>49</v>
      </c>
      <c r="I9" s="3" t="s">
        <v>17</v>
      </c>
      <c r="J9" s="3">
        <v>7.45</v>
      </c>
    </row>
    <row r="10" spans="1:10" ht="18" customHeight="1" x14ac:dyDescent="0.35">
      <c r="A10" s="4">
        <v>8</v>
      </c>
      <c r="B10" s="4" t="s">
        <v>50</v>
      </c>
      <c r="C10" s="4" t="s">
        <v>51</v>
      </c>
      <c r="D10" s="4">
        <v>21</v>
      </c>
      <c r="E10" s="4" t="s">
        <v>52</v>
      </c>
      <c r="F10" s="4" t="s">
        <v>53</v>
      </c>
      <c r="G10" s="4" t="s">
        <v>22</v>
      </c>
      <c r="H10" s="4" t="s">
        <v>54</v>
      </c>
      <c r="I10" s="4" t="s">
        <v>17</v>
      </c>
      <c r="J10" s="4">
        <v>45.6</v>
      </c>
    </row>
    <row r="11" spans="1:10" ht="18" customHeight="1" x14ac:dyDescent="0.35">
      <c r="A11" s="3">
        <v>9</v>
      </c>
      <c r="B11" s="3" t="s">
        <v>55</v>
      </c>
      <c r="C11" s="3" t="s">
        <v>56</v>
      </c>
      <c r="D11" s="3">
        <v>24</v>
      </c>
      <c r="E11" s="3" t="s">
        <v>57</v>
      </c>
      <c r="F11" s="3" t="s">
        <v>58</v>
      </c>
      <c r="G11" s="3" t="s">
        <v>15</v>
      </c>
      <c r="H11" s="3" t="s">
        <v>59</v>
      </c>
      <c r="I11" s="3" t="s">
        <v>17</v>
      </c>
      <c r="J11" s="3">
        <v>0</v>
      </c>
    </row>
    <row r="12" spans="1:10" ht="18" customHeight="1" x14ac:dyDescent="0.35">
      <c r="A12" s="4">
        <v>10</v>
      </c>
      <c r="B12" s="4" t="s">
        <v>60</v>
      </c>
      <c r="C12" s="4" t="s">
        <v>61</v>
      </c>
      <c r="D12" s="4">
        <v>17</v>
      </c>
      <c r="E12" s="4" t="s">
        <v>62</v>
      </c>
      <c r="F12" s="4" t="s">
        <v>63</v>
      </c>
      <c r="G12" s="4" t="s">
        <v>64</v>
      </c>
      <c r="H12" s="4" t="s">
        <v>65</v>
      </c>
      <c r="I12" s="4" t="s">
        <v>17</v>
      </c>
      <c r="J12" s="4">
        <v>0</v>
      </c>
    </row>
    <row r="13" spans="1:10" ht="18" customHeight="1" x14ac:dyDescent="0.35">
      <c r="A13" s="3">
        <v>11</v>
      </c>
      <c r="B13" s="3" t="s">
        <v>66</v>
      </c>
      <c r="C13" s="3" t="s">
        <v>67</v>
      </c>
      <c r="D13" s="3">
        <v>28</v>
      </c>
      <c r="E13" s="3" t="s">
        <v>68</v>
      </c>
      <c r="F13" s="3" t="s">
        <v>69</v>
      </c>
      <c r="G13" s="3" t="s">
        <v>15</v>
      </c>
      <c r="H13" s="3" t="s">
        <v>70</v>
      </c>
      <c r="I13" s="3" t="s">
        <v>17</v>
      </c>
      <c r="J13" s="3">
        <v>248.7</v>
      </c>
    </row>
    <row r="14" spans="1:10" ht="18" customHeight="1" x14ac:dyDescent="0.35">
      <c r="A14" s="4">
        <v>12</v>
      </c>
      <c r="B14" s="4" t="s">
        <v>71</v>
      </c>
      <c r="C14" s="4" t="s">
        <v>72</v>
      </c>
      <c r="D14" s="4">
        <v>16</v>
      </c>
      <c r="E14" s="4" t="s">
        <v>73</v>
      </c>
      <c r="F14" s="4" t="s">
        <v>74</v>
      </c>
      <c r="G14" s="4" t="s">
        <v>64</v>
      </c>
      <c r="H14" s="4" t="s">
        <v>75</v>
      </c>
      <c r="I14" s="4" t="s">
        <v>17</v>
      </c>
      <c r="J14" s="4">
        <v>340</v>
      </c>
    </row>
    <row r="15" spans="1:10" ht="18" customHeight="1" x14ac:dyDescent="0.35">
      <c r="A15" s="3">
        <v>13</v>
      </c>
      <c r="B15" s="3" t="s">
        <v>76</v>
      </c>
      <c r="C15" s="3" t="s">
        <v>77</v>
      </c>
      <c r="D15" s="3">
        <v>22</v>
      </c>
      <c r="E15" s="3" t="s">
        <v>78</v>
      </c>
      <c r="F15" s="3" t="s">
        <v>79</v>
      </c>
      <c r="G15" s="3" t="s">
        <v>15</v>
      </c>
      <c r="H15" s="3" t="s">
        <v>80</v>
      </c>
      <c r="I15" s="3" t="s">
        <v>17</v>
      </c>
      <c r="J15" s="3">
        <v>0</v>
      </c>
    </row>
    <row r="16" spans="1:10" ht="18" customHeight="1" x14ac:dyDescent="0.35">
      <c r="A16" s="4">
        <v>14</v>
      </c>
      <c r="B16" s="4" t="s">
        <v>81</v>
      </c>
      <c r="C16" s="4" t="s">
        <v>82</v>
      </c>
      <c r="D16" s="4">
        <v>20</v>
      </c>
      <c r="E16" s="4" t="s">
        <v>68</v>
      </c>
      <c r="F16" s="4" t="s">
        <v>83</v>
      </c>
      <c r="G16" s="4" t="s">
        <v>22</v>
      </c>
      <c r="H16" s="4" t="s">
        <v>84</v>
      </c>
      <c r="I16" s="4" t="s">
        <v>44</v>
      </c>
      <c r="J16" s="4">
        <v>0</v>
      </c>
    </row>
    <row r="17" spans="1:10" ht="18" customHeight="1" x14ac:dyDescent="0.35">
      <c r="A17" s="3">
        <v>15</v>
      </c>
      <c r="B17" s="3" t="s">
        <v>85</v>
      </c>
      <c r="C17" s="3" t="s">
        <v>86</v>
      </c>
      <c r="D17" s="3">
        <v>25</v>
      </c>
      <c r="E17" s="3" t="s">
        <v>87</v>
      </c>
      <c r="F17" s="3" t="s">
        <v>88</v>
      </c>
      <c r="G17" s="3" t="s">
        <v>15</v>
      </c>
      <c r="H17" s="3" t="s">
        <v>89</v>
      </c>
      <c r="I17" s="3" t="s">
        <v>17</v>
      </c>
      <c r="J17" s="3">
        <v>16.32</v>
      </c>
    </row>
    <row r="18" spans="1:10" ht="18" customHeight="1" x14ac:dyDescent="0.35">
      <c r="A18" s="4">
        <v>16</v>
      </c>
      <c r="B18" s="4" t="s">
        <v>90</v>
      </c>
      <c r="C18" s="4" t="s">
        <v>91</v>
      </c>
      <c r="D18" s="4">
        <v>23</v>
      </c>
      <c r="E18" s="4" t="s">
        <v>31</v>
      </c>
      <c r="F18" s="4" t="s">
        <v>92</v>
      </c>
      <c r="G18" s="4" t="s">
        <v>22</v>
      </c>
      <c r="H18" s="4" t="s">
        <v>93</v>
      </c>
      <c r="I18" s="4" t="s">
        <v>17</v>
      </c>
      <c r="J18" s="4">
        <v>1.72</v>
      </c>
    </row>
    <row r="19" spans="1:10" ht="18" customHeight="1" x14ac:dyDescent="0.35">
      <c r="A19" s="3">
        <v>17</v>
      </c>
      <c r="B19" s="3" t="s">
        <v>94</v>
      </c>
      <c r="C19" s="3" t="s">
        <v>95</v>
      </c>
      <c r="D19" s="3">
        <v>19</v>
      </c>
      <c r="E19" s="3" t="s">
        <v>96</v>
      </c>
      <c r="F19" s="3" t="s">
        <v>14</v>
      </c>
      <c r="G19" s="3" t="s">
        <v>97</v>
      </c>
      <c r="H19" s="3" t="s">
        <v>98</v>
      </c>
      <c r="I19" s="3" t="s">
        <v>17</v>
      </c>
      <c r="J19" s="3">
        <v>11.1</v>
      </c>
    </row>
    <row r="20" spans="1:10" ht="18" customHeight="1" x14ac:dyDescent="0.35">
      <c r="A20" s="4">
        <v>18</v>
      </c>
      <c r="B20" s="4" t="s">
        <v>99</v>
      </c>
      <c r="C20" s="4" t="s">
        <v>100</v>
      </c>
      <c r="D20" s="4">
        <v>15</v>
      </c>
      <c r="E20" s="4" t="s">
        <v>13</v>
      </c>
      <c r="F20" s="4" t="s">
        <v>32</v>
      </c>
      <c r="G20" s="4" t="s">
        <v>64</v>
      </c>
      <c r="H20" s="4" t="s">
        <v>101</v>
      </c>
      <c r="I20" s="4" t="s">
        <v>17</v>
      </c>
      <c r="J20" s="4">
        <v>131.6</v>
      </c>
    </row>
    <row r="21" spans="1:10" ht="18" customHeight="1" x14ac:dyDescent="0.35">
      <c r="A21" s="3">
        <v>19</v>
      </c>
      <c r="B21" s="3" t="s">
        <v>102</v>
      </c>
      <c r="C21" s="3" t="s">
        <v>103</v>
      </c>
      <c r="D21" s="3">
        <v>27</v>
      </c>
      <c r="E21" s="3" t="s">
        <v>104</v>
      </c>
      <c r="F21" s="3" t="s">
        <v>27</v>
      </c>
      <c r="G21" s="3" t="s">
        <v>15</v>
      </c>
      <c r="H21" s="3" t="s">
        <v>105</v>
      </c>
      <c r="I21" s="3" t="s">
        <v>17</v>
      </c>
      <c r="J21" s="3">
        <v>0</v>
      </c>
    </row>
    <row r="22" spans="1:10" ht="18" customHeight="1" x14ac:dyDescent="0.35">
      <c r="A22" s="4">
        <v>20</v>
      </c>
      <c r="B22" s="4" t="s">
        <v>106</v>
      </c>
      <c r="C22" s="4" t="s">
        <v>107</v>
      </c>
      <c r="D22" s="4">
        <v>18</v>
      </c>
      <c r="E22" s="4" t="s">
        <v>87</v>
      </c>
      <c r="F22" s="4" t="s">
        <v>74</v>
      </c>
      <c r="G22" s="4" t="s">
        <v>64</v>
      </c>
      <c r="H22" s="4" t="s">
        <v>108</v>
      </c>
      <c r="I22" s="4" t="s">
        <v>17</v>
      </c>
      <c r="J22" s="4">
        <v>335</v>
      </c>
    </row>
    <row r="23" spans="1:10" ht="19.5" customHeight="1" x14ac:dyDescent="0.35">
      <c r="A23" s="5"/>
      <c r="B23" s="5" t="s">
        <v>109</v>
      </c>
      <c r="C23" s="5" t="s">
        <v>110</v>
      </c>
      <c r="D23" s="6">
        <f>AVERAGE(D3:D22)</f>
        <v>21.4</v>
      </c>
      <c r="E23" s="5"/>
      <c r="F23" s="5"/>
      <c r="G23" s="5"/>
      <c r="H23" s="5"/>
      <c r="I23" s="5"/>
      <c r="J23" s="5"/>
    </row>
  </sheetData>
  <mergeCells count="1">
    <mergeCell ref="A1:J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8"/>
  <sheetViews>
    <sheetView zoomScaleNormal="100" workbookViewId="0">
      <selection sqref="A1:E1"/>
    </sheetView>
  </sheetViews>
  <sheetFormatPr defaultColWidth="8.6328125" defaultRowHeight="14.5" x14ac:dyDescent="0.35"/>
  <cols>
    <col min="1" max="5" width="22" customWidth="1"/>
  </cols>
  <sheetData>
    <row r="1" spans="1:5" ht="30" customHeight="1" x14ac:dyDescent="0.35">
      <c r="A1" s="1" t="s">
        <v>111</v>
      </c>
      <c r="B1" s="1"/>
      <c r="C1" s="1"/>
      <c r="D1" s="1"/>
      <c r="E1" s="1"/>
    </row>
    <row r="2" spans="1:5" ht="21.75" customHeight="1" x14ac:dyDescent="0.35">
      <c r="A2" s="2" t="s">
        <v>6</v>
      </c>
      <c r="B2" s="2" t="s">
        <v>112</v>
      </c>
      <c r="C2" s="2" t="s">
        <v>17</v>
      </c>
      <c r="D2" s="2" t="s">
        <v>44</v>
      </c>
      <c r="E2" s="2" t="s">
        <v>113</v>
      </c>
    </row>
    <row r="3" spans="1:5" x14ac:dyDescent="0.35">
      <c r="A3" s="3" t="s">
        <v>14</v>
      </c>
      <c r="B3" s="3">
        <v>2</v>
      </c>
      <c r="C3" s="3">
        <v>2</v>
      </c>
      <c r="D3" s="3">
        <v>0</v>
      </c>
      <c r="E3" s="7">
        <f t="shared" ref="E3:E18" si="0">C3/B3</f>
        <v>1</v>
      </c>
    </row>
    <row r="4" spans="1:5" x14ac:dyDescent="0.35">
      <c r="A4" s="4" t="s">
        <v>21</v>
      </c>
      <c r="B4" s="4">
        <v>1</v>
      </c>
      <c r="C4" s="4">
        <v>1</v>
      </c>
      <c r="D4" s="4">
        <v>0</v>
      </c>
      <c r="E4" s="8">
        <f t="shared" si="0"/>
        <v>1</v>
      </c>
    </row>
    <row r="5" spans="1:5" x14ac:dyDescent="0.35">
      <c r="A5" s="3" t="s">
        <v>27</v>
      </c>
      <c r="B5" s="3">
        <v>2</v>
      </c>
      <c r="C5" s="3">
        <v>2</v>
      </c>
      <c r="D5" s="3">
        <v>0</v>
      </c>
      <c r="E5" s="7">
        <f t="shared" si="0"/>
        <v>1</v>
      </c>
    </row>
    <row r="6" spans="1:5" x14ac:dyDescent="0.35">
      <c r="A6" s="4" t="s">
        <v>32</v>
      </c>
      <c r="B6" s="4">
        <v>2</v>
      </c>
      <c r="C6" s="4">
        <v>2</v>
      </c>
      <c r="D6" s="4">
        <v>0</v>
      </c>
      <c r="E6" s="8">
        <f t="shared" si="0"/>
        <v>1</v>
      </c>
    </row>
    <row r="7" spans="1:5" x14ac:dyDescent="0.35">
      <c r="A7" s="3" t="s">
        <v>37</v>
      </c>
      <c r="B7" s="3">
        <v>1</v>
      </c>
      <c r="C7" s="3">
        <v>1</v>
      </c>
      <c r="D7" s="3">
        <v>0</v>
      </c>
      <c r="E7" s="7">
        <f t="shared" si="0"/>
        <v>1</v>
      </c>
    </row>
    <row r="8" spans="1:5" x14ac:dyDescent="0.35">
      <c r="A8" s="4" t="s">
        <v>42</v>
      </c>
      <c r="B8" s="4">
        <v>1</v>
      </c>
      <c r="C8" s="4">
        <v>0</v>
      </c>
      <c r="D8" s="4">
        <v>1</v>
      </c>
      <c r="E8" s="8">
        <f t="shared" si="0"/>
        <v>0</v>
      </c>
    </row>
    <row r="9" spans="1:5" x14ac:dyDescent="0.35">
      <c r="A9" s="3" t="s">
        <v>48</v>
      </c>
      <c r="B9" s="3">
        <v>1</v>
      </c>
      <c r="C9" s="3">
        <v>1</v>
      </c>
      <c r="D9" s="3">
        <v>0</v>
      </c>
      <c r="E9" s="7">
        <f t="shared" si="0"/>
        <v>1</v>
      </c>
    </row>
    <row r="10" spans="1:5" x14ac:dyDescent="0.35">
      <c r="A10" s="4" t="s">
        <v>53</v>
      </c>
      <c r="B10" s="4">
        <v>1</v>
      </c>
      <c r="C10" s="4">
        <v>1</v>
      </c>
      <c r="D10" s="4">
        <v>0</v>
      </c>
      <c r="E10" s="8">
        <f t="shared" si="0"/>
        <v>1</v>
      </c>
    </row>
    <row r="11" spans="1:5" x14ac:dyDescent="0.35">
      <c r="A11" s="3" t="s">
        <v>58</v>
      </c>
      <c r="B11" s="3">
        <v>1</v>
      </c>
      <c r="C11" s="3">
        <v>1</v>
      </c>
      <c r="D11" s="3">
        <v>0</v>
      </c>
      <c r="E11" s="7">
        <f t="shared" si="0"/>
        <v>1</v>
      </c>
    </row>
    <row r="12" spans="1:5" x14ac:dyDescent="0.35">
      <c r="A12" s="4" t="s">
        <v>63</v>
      </c>
      <c r="B12" s="4">
        <v>1</v>
      </c>
      <c r="C12" s="4">
        <v>1</v>
      </c>
      <c r="D12" s="4">
        <v>0</v>
      </c>
      <c r="E12" s="8">
        <f t="shared" si="0"/>
        <v>1</v>
      </c>
    </row>
    <row r="13" spans="1:5" x14ac:dyDescent="0.35">
      <c r="A13" s="3" t="s">
        <v>69</v>
      </c>
      <c r="B13" s="3">
        <v>1</v>
      </c>
      <c r="C13" s="3">
        <v>1</v>
      </c>
      <c r="D13" s="3">
        <v>0</v>
      </c>
      <c r="E13" s="7">
        <f t="shared" si="0"/>
        <v>1</v>
      </c>
    </row>
    <row r="14" spans="1:5" x14ac:dyDescent="0.35">
      <c r="A14" s="4" t="s">
        <v>74</v>
      </c>
      <c r="B14" s="4">
        <v>2</v>
      </c>
      <c r="C14" s="4">
        <v>2</v>
      </c>
      <c r="D14" s="4">
        <v>0</v>
      </c>
      <c r="E14" s="8">
        <f t="shared" si="0"/>
        <v>1</v>
      </c>
    </row>
    <row r="15" spans="1:5" x14ac:dyDescent="0.35">
      <c r="A15" s="3" t="s">
        <v>79</v>
      </c>
      <c r="B15" s="3">
        <v>1</v>
      </c>
      <c r="C15" s="3">
        <v>1</v>
      </c>
      <c r="D15" s="3">
        <v>0</v>
      </c>
      <c r="E15" s="7">
        <f t="shared" si="0"/>
        <v>1</v>
      </c>
    </row>
    <row r="16" spans="1:5" x14ac:dyDescent="0.35">
      <c r="A16" s="4" t="s">
        <v>83</v>
      </c>
      <c r="B16" s="4">
        <v>1</v>
      </c>
      <c r="C16" s="4">
        <v>0</v>
      </c>
      <c r="D16" s="4">
        <v>1</v>
      </c>
      <c r="E16" s="8">
        <f t="shared" si="0"/>
        <v>0</v>
      </c>
    </row>
    <row r="17" spans="1:5" x14ac:dyDescent="0.35">
      <c r="A17" s="3" t="s">
        <v>88</v>
      </c>
      <c r="B17" s="3">
        <v>1</v>
      </c>
      <c r="C17" s="3">
        <v>1</v>
      </c>
      <c r="D17" s="3">
        <v>0</v>
      </c>
      <c r="E17" s="7">
        <f t="shared" si="0"/>
        <v>1</v>
      </c>
    </row>
    <row r="18" spans="1:5" x14ac:dyDescent="0.35">
      <c r="A18" s="4" t="s">
        <v>92</v>
      </c>
      <c r="B18" s="4">
        <v>1</v>
      </c>
      <c r="C18" s="4">
        <v>1</v>
      </c>
      <c r="D18" s="4">
        <v>0</v>
      </c>
      <c r="E18" s="8">
        <f t="shared" si="0"/>
        <v>1</v>
      </c>
    </row>
  </sheetData>
  <mergeCells count="1">
    <mergeCell ref="A1:E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Participant Registration</vt:lpstr>
      <vt:lpstr>Event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Darshan S</cp:lastModifiedBy>
  <cp:revision>1</cp:revision>
  <dcterms:created xsi:type="dcterms:W3CDTF">2026-06-11T11:11:07Z</dcterms:created>
  <dcterms:modified xsi:type="dcterms:W3CDTF">2026-06-24T19:51:55Z</dcterms:modified>
  <dc:language>en-US</dc:language>
</cp:coreProperties>
</file>